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ltankydyr/Downloads/"/>
    </mc:Choice>
  </mc:AlternateContent>
  <xr:revisionPtr revIDLastSave="0" documentId="13_ncr:1_{318ACEC4-9B00-014A-90CC-F3D938E1ABD3}" xr6:coauthVersionLast="47" xr6:coauthVersionMax="47" xr10:uidLastSave="{00000000-0000-0000-0000-000000000000}"/>
  <bookViews>
    <workbookView xWindow="0" yWindow="0" windowWidth="33600" windowHeight="21000" xr2:uid="{4C722820-C19C-CE49-A541-11AAD48C8C8E}"/>
  </bookViews>
  <sheets>
    <sheet name="PSR" sheetId="2" r:id="rId1"/>
    <sheet name="Sheet1" sheetId="1" r:id="rId2"/>
  </sheets>
  <definedNames>
    <definedName name="_xlnm._FilterDatabase" localSheetId="0" hidden="1">PSR!$A$5:$DU$34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2" l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2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2" i="2"/>
  <c r="AB6" i="2"/>
  <c r="AF6" i="2"/>
  <c r="AJ6" i="2"/>
  <c r="AN6" i="2"/>
  <c r="AR6" i="2"/>
  <c r="AV6" i="2"/>
  <c r="AZ6" i="2"/>
  <c r="BD6" i="2"/>
  <c r="BH6" i="2"/>
  <c r="V6" i="2"/>
  <c r="AB7" i="2"/>
  <c r="AF7" i="2"/>
  <c r="AJ7" i="2"/>
  <c r="AN7" i="2"/>
  <c r="AR7" i="2"/>
  <c r="AV7" i="2"/>
  <c r="BD7" i="2"/>
  <c r="BL7" i="2"/>
  <c r="CC7" i="2"/>
  <c r="CL7" i="2"/>
  <c r="V7" i="2"/>
  <c r="AC8" i="2"/>
  <c r="AB8" i="2"/>
  <c r="AG8" i="2"/>
  <c r="AF8" i="2"/>
  <c r="AJ8" i="2"/>
  <c r="AN8" i="2"/>
  <c r="AR8" i="2"/>
  <c r="AV8" i="2"/>
  <c r="AZ8" i="2"/>
  <c r="BE8" i="2"/>
  <c r="BD8" i="2"/>
  <c r="BH8" i="2"/>
  <c r="BL8" i="2"/>
  <c r="BP8" i="2"/>
  <c r="CC8" i="2"/>
  <c r="V8" i="2"/>
  <c r="AC9" i="2"/>
  <c r="AB9" i="2"/>
  <c r="AG9" i="2"/>
  <c r="AF9" i="2"/>
  <c r="AJ9" i="2"/>
  <c r="AN9" i="2"/>
  <c r="AR9" i="2"/>
  <c r="AV9" i="2"/>
  <c r="AZ9" i="2"/>
  <c r="BE9" i="2"/>
  <c r="BD9" i="2"/>
  <c r="BH9" i="2"/>
  <c r="BL9" i="2"/>
  <c r="BP9" i="2"/>
  <c r="CC9" i="2"/>
  <c r="V9" i="2"/>
  <c r="AC10" i="2"/>
  <c r="AB10" i="2"/>
  <c r="AG10" i="2"/>
  <c r="AF10" i="2"/>
  <c r="AJ10" i="2"/>
  <c r="AN10" i="2"/>
  <c r="AR10" i="2"/>
  <c r="AV10" i="2"/>
  <c r="AZ10" i="2"/>
  <c r="BE10" i="2"/>
  <c r="BD10" i="2"/>
  <c r="BH10" i="2"/>
  <c r="BL10" i="2"/>
  <c r="BP10" i="2"/>
  <c r="CC10" i="2"/>
  <c r="V10" i="2"/>
  <c r="AC11" i="2"/>
  <c r="AB11" i="2"/>
  <c r="AG11" i="2"/>
  <c r="AF11" i="2"/>
  <c r="AJ11" i="2"/>
  <c r="AN11" i="2"/>
  <c r="AR11" i="2"/>
  <c r="AV11" i="2"/>
  <c r="AZ11" i="2"/>
  <c r="BE11" i="2"/>
  <c r="BD11" i="2"/>
  <c r="BH11" i="2"/>
  <c r="BL11" i="2"/>
  <c r="BP11" i="2"/>
  <c r="CC11" i="2"/>
  <c r="V11" i="2"/>
  <c r="AC12" i="2"/>
  <c r="AB12" i="2"/>
  <c r="AG12" i="2"/>
  <c r="AF12" i="2"/>
  <c r="AJ12" i="2"/>
  <c r="AN12" i="2"/>
  <c r="AR12" i="2"/>
  <c r="AV12" i="2"/>
  <c r="AZ12" i="2"/>
  <c r="BE12" i="2"/>
  <c r="BD12" i="2"/>
  <c r="BH12" i="2"/>
  <c r="BL12" i="2"/>
  <c r="BP12" i="2"/>
  <c r="CC12" i="2"/>
  <c r="V12" i="2"/>
  <c r="AC13" i="2"/>
  <c r="AB13" i="2"/>
  <c r="AG13" i="2"/>
  <c r="AF13" i="2"/>
  <c r="AJ13" i="2"/>
  <c r="AN13" i="2"/>
  <c r="AR13" i="2"/>
  <c r="AV13" i="2"/>
  <c r="AZ13" i="2"/>
  <c r="BE13" i="2"/>
  <c r="BD13" i="2"/>
  <c r="BH13" i="2"/>
  <c r="BL13" i="2"/>
  <c r="BP13" i="2"/>
  <c r="CC13" i="2"/>
  <c r="V13" i="2"/>
  <c r="AC14" i="2"/>
  <c r="AB14" i="2"/>
  <c r="AG14" i="2"/>
  <c r="AF14" i="2"/>
  <c r="AJ14" i="2"/>
  <c r="AN14" i="2"/>
  <c r="AR14" i="2"/>
  <c r="AV14" i="2"/>
  <c r="AZ14" i="2"/>
  <c r="BE14" i="2"/>
  <c r="BD14" i="2"/>
  <c r="BH14" i="2"/>
  <c r="BL14" i="2"/>
  <c r="BP14" i="2"/>
  <c r="CC14" i="2"/>
  <c r="V14" i="2"/>
  <c r="AC15" i="2"/>
  <c r="AB15" i="2"/>
  <c r="AG15" i="2"/>
  <c r="AF15" i="2"/>
  <c r="AJ15" i="2"/>
  <c r="AN15" i="2"/>
  <c r="AR15" i="2"/>
  <c r="AV15" i="2"/>
  <c r="AZ15" i="2"/>
  <c r="BE15" i="2"/>
  <c r="BD15" i="2"/>
  <c r="BH15" i="2"/>
  <c r="BL15" i="2"/>
  <c r="BP15" i="2"/>
  <c r="CC15" i="2"/>
  <c r="V15" i="2"/>
  <c r="AC16" i="2"/>
  <c r="AB16" i="2"/>
  <c r="AG16" i="2"/>
  <c r="AF16" i="2"/>
  <c r="AJ16" i="2"/>
  <c r="AN16" i="2"/>
  <c r="AR16" i="2"/>
  <c r="AV16" i="2"/>
  <c r="AZ16" i="2"/>
  <c r="BE16" i="2"/>
  <c r="BD16" i="2"/>
  <c r="BH16" i="2"/>
  <c r="BL16" i="2"/>
  <c r="BP16" i="2"/>
  <c r="CC16" i="2"/>
  <c r="V16" i="2"/>
  <c r="AC17" i="2"/>
  <c r="AB17" i="2"/>
  <c r="AG17" i="2"/>
  <c r="AF17" i="2"/>
  <c r="AJ17" i="2"/>
  <c r="AN17" i="2"/>
  <c r="AR17" i="2"/>
  <c r="AV17" i="2"/>
  <c r="AZ17" i="2"/>
  <c r="BE17" i="2"/>
  <c r="BD17" i="2"/>
  <c r="BH17" i="2"/>
  <c r="BL17" i="2"/>
  <c r="BP17" i="2"/>
  <c r="CC17" i="2"/>
  <c r="V17" i="2"/>
  <c r="AC18" i="2"/>
  <c r="AB18" i="2"/>
  <c r="AG18" i="2"/>
  <c r="AF18" i="2"/>
  <c r="AJ18" i="2"/>
  <c r="AN18" i="2"/>
  <c r="AR18" i="2"/>
  <c r="AV18" i="2"/>
  <c r="AZ18" i="2"/>
  <c r="BE18" i="2"/>
  <c r="BD18" i="2"/>
  <c r="BH18" i="2"/>
  <c r="BL18" i="2"/>
  <c r="BP18" i="2"/>
  <c r="CC18" i="2"/>
  <c r="V18" i="2"/>
  <c r="AC19" i="2"/>
  <c r="AB19" i="2"/>
  <c r="AG19" i="2"/>
  <c r="AF19" i="2"/>
  <c r="AJ19" i="2"/>
  <c r="AN19" i="2"/>
  <c r="AR19" i="2"/>
  <c r="AV19" i="2"/>
  <c r="AZ19" i="2"/>
  <c r="BE19" i="2"/>
  <c r="BD19" i="2"/>
  <c r="BH19" i="2"/>
  <c r="BL19" i="2"/>
  <c r="BP19" i="2"/>
  <c r="CC19" i="2"/>
  <c r="V19" i="2"/>
  <c r="AC20" i="2"/>
  <c r="AB20" i="2"/>
  <c r="AG20" i="2"/>
  <c r="AF20" i="2"/>
  <c r="AJ20" i="2"/>
  <c r="AN20" i="2"/>
  <c r="AR20" i="2"/>
  <c r="AV20" i="2"/>
  <c r="AZ20" i="2"/>
  <c r="BE20" i="2"/>
  <c r="BD20" i="2"/>
  <c r="BH20" i="2"/>
  <c r="BL20" i="2"/>
  <c r="BP20" i="2"/>
  <c r="CC20" i="2"/>
  <c r="V20" i="2"/>
  <c r="AC21" i="2"/>
  <c r="AB21" i="2"/>
  <c r="AG21" i="2"/>
  <c r="AF21" i="2"/>
  <c r="AJ21" i="2"/>
  <c r="AN21" i="2"/>
  <c r="AR21" i="2"/>
  <c r="AV21" i="2"/>
  <c r="AZ21" i="2"/>
  <c r="BE21" i="2"/>
  <c r="BD21" i="2"/>
  <c r="BH21" i="2"/>
  <c r="BL21" i="2"/>
  <c r="BP21" i="2"/>
  <c r="CC21" i="2"/>
  <c r="V21" i="2"/>
  <c r="AC22" i="2"/>
  <c r="AB22" i="2"/>
  <c r="AG22" i="2"/>
  <c r="AF22" i="2"/>
  <c r="AJ22" i="2"/>
  <c r="AN22" i="2"/>
  <c r="AR22" i="2"/>
  <c r="AV22" i="2"/>
  <c r="AZ22" i="2"/>
  <c r="BE22" i="2"/>
  <c r="BD22" i="2"/>
  <c r="BH22" i="2"/>
  <c r="BL22" i="2"/>
  <c r="BP22" i="2"/>
  <c r="CC22" i="2"/>
  <c r="V22" i="2"/>
  <c r="AC23" i="2"/>
  <c r="AB23" i="2"/>
  <c r="AG23" i="2"/>
  <c r="AF23" i="2"/>
  <c r="AJ23" i="2"/>
  <c r="AN23" i="2"/>
  <c r="AR23" i="2"/>
  <c r="AV23" i="2"/>
  <c r="AZ23" i="2"/>
  <c r="BE23" i="2"/>
  <c r="BD23" i="2"/>
  <c r="BH23" i="2"/>
  <c r="BL23" i="2"/>
  <c r="BP23" i="2"/>
  <c r="CC23" i="2"/>
  <c r="V23" i="2"/>
  <c r="AC24" i="2"/>
  <c r="AB24" i="2"/>
  <c r="AG24" i="2"/>
  <c r="AF24" i="2"/>
  <c r="AJ24" i="2"/>
  <c r="AN24" i="2"/>
  <c r="AR24" i="2"/>
  <c r="AV24" i="2"/>
  <c r="AZ24" i="2"/>
  <c r="BE24" i="2"/>
  <c r="BD24" i="2"/>
  <c r="BH24" i="2"/>
  <c r="BL24" i="2"/>
  <c r="BP24" i="2"/>
  <c r="CC24" i="2"/>
  <c r="V24" i="2"/>
  <c r="AC25" i="2"/>
  <c r="AB25" i="2"/>
  <c r="AG25" i="2"/>
  <c r="AF25" i="2"/>
  <c r="AJ25" i="2"/>
  <c r="AN25" i="2"/>
  <c r="AR25" i="2"/>
  <c r="AV25" i="2"/>
  <c r="AZ25" i="2"/>
  <c r="BE25" i="2"/>
  <c r="BD25" i="2"/>
  <c r="BH25" i="2"/>
  <c r="BL25" i="2"/>
  <c r="BP25" i="2"/>
  <c r="CC25" i="2"/>
  <c r="V25" i="2"/>
  <c r="AC26" i="2"/>
  <c r="AB26" i="2"/>
  <c r="AG26" i="2"/>
  <c r="AF26" i="2"/>
  <c r="AJ26" i="2"/>
  <c r="AN26" i="2"/>
  <c r="AR26" i="2"/>
  <c r="AV26" i="2"/>
  <c r="AZ26" i="2"/>
  <c r="BE26" i="2"/>
  <c r="BD26" i="2"/>
  <c r="BH26" i="2"/>
  <c r="BL26" i="2"/>
  <c r="BP26" i="2"/>
  <c r="CC26" i="2"/>
  <c r="V26" i="2"/>
  <c r="AC27" i="2"/>
  <c r="AB27" i="2"/>
  <c r="AG27" i="2"/>
  <c r="AF27" i="2"/>
  <c r="AJ27" i="2"/>
  <c r="AN27" i="2"/>
  <c r="AR27" i="2"/>
  <c r="AV27" i="2"/>
  <c r="AZ27" i="2"/>
  <c r="BE27" i="2"/>
  <c r="BD27" i="2"/>
  <c r="BH27" i="2"/>
  <c r="BL27" i="2"/>
  <c r="BP27" i="2"/>
  <c r="CC27" i="2"/>
  <c r="CL27" i="2"/>
  <c r="V27" i="2"/>
  <c r="AC28" i="2"/>
  <c r="AB28" i="2"/>
  <c r="AG28" i="2"/>
  <c r="AF28" i="2"/>
  <c r="AJ28" i="2"/>
  <c r="AN28" i="2"/>
  <c r="AR28" i="2"/>
  <c r="AV28" i="2"/>
  <c r="AZ28" i="2"/>
  <c r="BE28" i="2"/>
  <c r="BD28" i="2"/>
  <c r="BH28" i="2"/>
  <c r="BL28" i="2"/>
  <c r="BP28" i="2"/>
  <c r="CC28" i="2"/>
  <c r="CL28" i="2"/>
  <c r="V28" i="2"/>
  <c r="AC29" i="2"/>
  <c r="AB29" i="2"/>
  <c r="AG29" i="2"/>
  <c r="AF29" i="2"/>
  <c r="AJ29" i="2"/>
  <c r="AN29" i="2"/>
  <c r="AR29" i="2"/>
  <c r="AV29" i="2"/>
  <c r="AZ29" i="2"/>
  <c r="BE29" i="2"/>
  <c r="BD29" i="2"/>
  <c r="BH29" i="2"/>
  <c r="BL29" i="2"/>
  <c r="BP29" i="2"/>
  <c r="CC29" i="2"/>
  <c r="CL29" i="2"/>
  <c r="V29" i="2"/>
  <c r="AC30" i="2"/>
  <c r="AB30" i="2"/>
  <c r="AG30" i="2"/>
  <c r="AF30" i="2"/>
  <c r="AJ30" i="2"/>
  <c r="AN30" i="2"/>
  <c r="AR30" i="2"/>
  <c r="AV30" i="2"/>
  <c r="AZ30" i="2"/>
  <c r="BE30" i="2"/>
  <c r="BD30" i="2"/>
  <c r="BH30" i="2"/>
  <c r="BL30" i="2"/>
  <c r="BP30" i="2"/>
  <c r="CC30" i="2"/>
  <c r="CL30" i="2"/>
  <c r="V30" i="2"/>
  <c r="V2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2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2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2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2" i="2" a="1"/>
  <c r="CT2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2" i="2" a="1"/>
  <c r="CU2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2" i="2" a="1"/>
  <c r="CV2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2" i="2" a="1"/>
  <c r="CW2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2" i="2" a="1"/>
  <c r="CX2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2" i="2" a="1"/>
  <c r="CY2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2" i="2" a="1"/>
  <c r="CZ2" i="2"/>
  <c r="DA6" i="2"/>
  <c r="DA7" i="2"/>
  <c r="DA8" i="2"/>
  <c r="DA9" i="2"/>
  <c r="DA10" i="2"/>
  <c r="DA11" i="2"/>
  <c r="DA12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DA27" i="2"/>
  <c r="DA28" i="2"/>
  <c r="DA29" i="2"/>
  <c r="DA30" i="2"/>
  <c r="DA2" i="2" a="1"/>
  <c r="DA2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2" i="2" a="1"/>
  <c r="DB2" i="2"/>
  <c r="DC6" i="2"/>
  <c r="DC7" i="2"/>
  <c r="DC8" i="2"/>
  <c r="DC9" i="2"/>
  <c r="DC10" i="2"/>
  <c r="DC11" i="2"/>
  <c r="DC12" i="2"/>
  <c r="DC13" i="2"/>
  <c r="DC14" i="2"/>
  <c r="DC15" i="2"/>
  <c r="DC16" i="2"/>
  <c r="DC17" i="2"/>
  <c r="DC18" i="2"/>
  <c r="DC19" i="2"/>
  <c r="DC20" i="2"/>
  <c r="DC21" i="2"/>
  <c r="DC22" i="2"/>
  <c r="DC23" i="2"/>
  <c r="DC24" i="2"/>
  <c r="DC25" i="2"/>
  <c r="DC26" i="2"/>
  <c r="DC27" i="2"/>
  <c r="DC28" i="2"/>
  <c r="DC29" i="2"/>
  <c r="DC30" i="2"/>
  <c r="DC2" i="2" a="1"/>
  <c r="DC2" i="2"/>
  <c r="DD6" i="2"/>
  <c r="DD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2" i="2" a="1"/>
  <c r="DD2" i="2"/>
  <c r="DE6" i="2"/>
  <c r="DE7" i="2"/>
  <c r="DE8" i="2"/>
  <c r="DE9" i="2"/>
  <c r="DE10" i="2"/>
  <c r="DE11" i="2"/>
  <c r="DE12" i="2"/>
  <c r="DE13" i="2"/>
  <c r="DE14" i="2"/>
  <c r="DE15" i="2"/>
  <c r="DE16" i="2"/>
  <c r="DE17" i="2"/>
  <c r="DE18" i="2"/>
  <c r="DE19" i="2"/>
  <c r="DE20" i="2"/>
  <c r="DE21" i="2"/>
  <c r="DE22" i="2"/>
  <c r="DE23" i="2"/>
  <c r="DE24" i="2"/>
  <c r="DE25" i="2"/>
  <c r="DE26" i="2"/>
  <c r="DE27" i="2"/>
  <c r="DE28" i="2"/>
  <c r="DE29" i="2"/>
  <c r="DE30" i="2"/>
  <c r="DE2" i="2" a="1"/>
  <c r="DE2" i="2"/>
  <c r="DF6" i="2"/>
  <c r="DF7" i="2"/>
  <c r="DF8" i="2"/>
  <c r="DF9" i="2"/>
  <c r="DF10" i="2"/>
  <c r="DF11" i="2"/>
  <c r="DF12" i="2"/>
  <c r="DF13" i="2"/>
  <c r="DF14" i="2"/>
  <c r="DF15" i="2"/>
  <c r="DF16" i="2"/>
  <c r="DF17" i="2"/>
  <c r="DF18" i="2"/>
  <c r="DF19" i="2"/>
  <c r="DF20" i="2"/>
  <c r="DF21" i="2"/>
  <c r="DF22" i="2"/>
  <c r="DF23" i="2"/>
  <c r="DF24" i="2"/>
  <c r="DF25" i="2"/>
  <c r="DF26" i="2"/>
  <c r="DF27" i="2"/>
  <c r="DF28" i="2"/>
  <c r="DF29" i="2"/>
  <c r="DF30" i="2"/>
  <c r="DF2" i="2" a="1"/>
  <c r="DF2" i="2"/>
  <c r="DG6" i="2"/>
  <c r="DG7" i="2"/>
  <c r="DG8" i="2"/>
  <c r="DG9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30" i="2"/>
  <c r="DG2" i="2" a="1"/>
  <c r="DG2" i="2"/>
  <c r="DH6" i="2"/>
  <c r="DH7" i="2"/>
  <c r="DH8" i="2"/>
  <c r="DH9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30" i="2"/>
  <c r="DH2" i="2" a="1"/>
  <c r="DH2" i="2"/>
  <c r="DI6" i="2"/>
  <c r="DI7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23" i="2"/>
  <c r="DI24" i="2"/>
  <c r="DI25" i="2"/>
  <c r="DI26" i="2"/>
  <c r="DI27" i="2"/>
  <c r="DI28" i="2"/>
  <c r="DI29" i="2"/>
  <c r="DI30" i="2"/>
  <c r="DI2" i="2" a="1"/>
  <c r="DI2" i="2"/>
  <c r="DJ6" i="2"/>
  <c r="DJ7" i="2"/>
  <c r="DJ8" i="2"/>
  <c r="DJ9" i="2"/>
  <c r="DJ10" i="2"/>
  <c r="DJ11" i="2"/>
  <c r="DJ12" i="2"/>
  <c r="DJ13" i="2"/>
  <c r="DJ14" i="2"/>
  <c r="DJ15" i="2"/>
  <c r="DJ16" i="2"/>
  <c r="DJ17" i="2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2" i="2" a="1"/>
  <c r="DJ2" i="2"/>
  <c r="DK6" i="2"/>
  <c r="DK7" i="2"/>
  <c r="DK8" i="2"/>
  <c r="DK9" i="2"/>
  <c r="DK10" i="2"/>
  <c r="DK11" i="2"/>
  <c r="DK12" i="2"/>
  <c r="DK13" i="2"/>
  <c r="DK14" i="2"/>
  <c r="DK15" i="2"/>
  <c r="DK16" i="2"/>
  <c r="DK17" i="2"/>
  <c r="DK18" i="2"/>
  <c r="DK19" i="2"/>
  <c r="DK20" i="2"/>
  <c r="DK21" i="2"/>
  <c r="DK22" i="2"/>
  <c r="DK23" i="2"/>
  <c r="DK24" i="2"/>
  <c r="DK25" i="2"/>
  <c r="DK26" i="2"/>
  <c r="DK27" i="2"/>
  <c r="DK28" i="2"/>
  <c r="DK29" i="2"/>
  <c r="DK30" i="2"/>
  <c r="DK2" i="2" a="1"/>
  <c r="DK2" i="2"/>
  <c r="DL6" i="2"/>
  <c r="DL7" i="2"/>
  <c r="DL8" i="2"/>
  <c r="DL9" i="2"/>
  <c r="DL10" i="2"/>
  <c r="DL11" i="2"/>
  <c r="DL12" i="2"/>
  <c r="DL13" i="2"/>
  <c r="DL14" i="2"/>
  <c r="DL15" i="2"/>
  <c r="DL16" i="2"/>
  <c r="DL17" i="2"/>
  <c r="DL18" i="2"/>
  <c r="DL19" i="2"/>
  <c r="DL20" i="2"/>
  <c r="DL21" i="2"/>
  <c r="DL22" i="2"/>
  <c r="DL23" i="2"/>
  <c r="DL24" i="2"/>
  <c r="DL25" i="2"/>
  <c r="DL26" i="2"/>
  <c r="DL27" i="2"/>
  <c r="DL28" i="2"/>
  <c r="DL29" i="2"/>
  <c r="DL30" i="2"/>
  <c r="DL2" i="2" a="1"/>
  <c r="DL2" i="2"/>
  <c r="DM6" i="2"/>
  <c r="DM7" i="2"/>
  <c r="DM8" i="2"/>
  <c r="DM9" i="2"/>
  <c r="DM10" i="2"/>
  <c r="DM11" i="2"/>
  <c r="DM12" i="2"/>
  <c r="DM13" i="2"/>
  <c r="DM14" i="2"/>
  <c r="DM15" i="2"/>
  <c r="DM16" i="2"/>
  <c r="DM17" i="2"/>
  <c r="DM18" i="2"/>
  <c r="DM19" i="2"/>
  <c r="DM20" i="2"/>
  <c r="DM21" i="2"/>
  <c r="DM22" i="2"/>
  <c r="DM23" i="2"/>
  <c r="DM24" i="2"/>
  <c r="DM25" i="2"/>
  <c r="DM26" i="2"/>
  <c r="DM27" i="2"/>
  <c r="DM28" i="2"/>
  <c r="DM29" i="2"/>
  <c r="DM30" i="2"/>
  <c r="DM2" i="2" a="1"/>
  <c r="DM2" i="2"/>
  <c r="DN6" i="2"/>
  <c r="DN7" i="2"/>
  <c r="DN8" i="2"/>
  <c r="DN9" i="2"/>
  <c r="DN10" i="2"/>
  <c r="DN11" i="2"/>
  <c r="DN12" i="2"/>
  <c r="DN13" i="2"/>
  <c r="DN14" i="2"/>
  <c r="DN15" i="2"/>
  <c r="DN16" i="2"/>
  <c r="DN17" i="2"/>
  <c r="DN18" i="2"/>
  <c r="DN19" i="2"/>
  <c r="DN20" i="2"/>
  <c r="DN21" i="2"/>
  <c r="DN22" i="2"/>
  <c r="DN23" i="2"/>
  <c r="DN24" i="2"/>
  <c r="DN25" i="2"/>
  <c r="DN26" i="2"/>
  <c r="DN27" i="2"/>
  <c r="DN28" i="2"/>
  <c r="DN29" i="2"/>
  <c r="DN30" i="2"/>
  <c r="DN2" i="2" a="1"/>
  <c r="DN2" i="2"/>
  <c r="DO6" i="2"/>
  <c r="DO7" i="2"/>
  <c r="DO8" i="2"/>
  <c r="DO9" i="2"/>
  <c r="DO10" i="2"/>
  <c r="DO11" i="2"/>
  <c r="DO12" i="2"/>
  <c r="DO13" i="2"/>
  <c r="DO14" i="2"/>
  <c r="DO15" i="2"/>
  <c r="DO16" i="2"/>
  <c r="DO17" i="2"/>
  <c r="DO18" i="2"/>
  <c r="DO19" i="2"/>
  <c r="DO20" i="2"/>
  <c r="DO21" i="2"/>
  <c r="DO22" i="2"/>
  <c r="DO23" i="2"/>
  <c r="DO24" i="2"/>
  <c r="DO25" i="2"/>
  <c r="DO26" i="2"/>
  <c r="DO27" i="2"/>
  <c r="DO28" i="2"/>
  <c r="DO29" i="2"/>
  <c r="DO30" i="2"/>
  <c r="DO2" i="2" a="1"/>
  <c r="DO2" i="2"/>
  <c r="DP6" i="2"/>
  <c r="DP7" i="2"/>
  <c r="DP8" i="2"/>
  <c r="DP9" i="2"/>
  <c r="DP10" i="2"/>
  <c r="DP11" i="2"/>
  <c r="DP12" i="2"/>
  <c r="DP13" i="2"/>
  <c r="DP14" i="2"/>
  <c r="DP15" i="2"/>
  <c r="DP16" i="2"/>
  <c r="DP17" i="2"/>
  <c r="DP18" i="2"/>
  <c r="DP19" i="2"/>
  <c r="DP20" i="2"/>
  <c r="DP21" i="2"/>
  <c r="DP22" i="2"/>
  <c r="DP23" i="2"/>
  <c r="DP24" i="2"/>
  <c r="DP25" i="2"/>
  <c r="DP26" i="2"/>
  <c r="DP27" i="2"/>
  <c r="DP28" i="2"/>
  <c r="DP29" i="2"/>
  <c r="DP30" i="2"/>
  <c r="DP2" i="2" a="1"/>
  <c r="DP2" i="2"/>
  <c r="DQ6" i="2"/>
  <c r="DQ7" i="2"/>
  <c r="DQ8" i="2"/>
  <c r="DQ9" i="2"/>
  <c r="DQ10" i="2"/>
  <c r="DQ11" i="2"/>
  <c r="DQ12" i="2"/>
  <c r="DQ13" i="2"/>
  <c r="DQ14" i="2"/>
  <c r="DQ15" i="2"/>
  <c r="DQ16" i="2"/>
  <c r="DQ17" i="2"/>
  <c r="DQ18" i="2"/>
  <c r="DQ19" i="2"/>
  <c r="DQ20" i="2"/>
  <c r="DQ21" i="2"/>
  <c r="DQ22" i="2"/>
  <c r="DQ23" i="2"/>
  <c r="DQ24" i="2"/>
  <c r="DQ25" i="2"/>
  <c r="DQ26" i="2"/>
  <c r="DQ27" i="2"/>
  <c r="DQ28" i="2"/>
  <c r="DQ29" i="2"/>
  <c r="DQ30" i="2"/>
  <c r="DQ2" i="2" a="1"/>
  <c r="DQ2" i="2"/>
  <c r="DR6" i="2"/>
  <c r="DR7" i="2"/>
  <c r="DR8" i="2"/>
  <c r="DR9" i="2"/>
  <c r="DR10" i="2"/>
  <c r="DR11" i="2"/>
  <c r="DR12" i="2"/>
  <c r="DR13" i="2"/>
  <c r="DR14" i="2"/>
  <c r="DR15" i="2"/>
  <c r="DR16" i="2"/>
  <c r="DR17" i="2"/>
  <c r="DR18" i="2"/>
  <c r="DR19" i="2"/>
  <c r="DR20" i="2"/>
  <c r="DR21" i="2"/>
  <c r="DR22" i="2"/>
  <c r="DR23" i="2"/>
  <c r="DR24" i="2"/>
  <c r="DR25" i="2"/>
  <c r="DR26" i="2"/>
  <c r="DR27" i="2"/>
  <c r="DR28" i="2"/>
  <c r="DR29" i="2"/>
  <c r="DR30" i="2"/>
  <c r="DR2" i="2" a="1"/>
  <c r="DR2" i="2"/>
  <c r="DS6" i="2"/>
  <c r="DS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2" i="2" a="1"/>
  <c r="DS2" i="2"/>
  <c r="DT6" i="2"/>
  <c r="DT7" i="2"/>
  <c r="DT8" i="2"/>
  <c r="DT9" i="2"/>
  <c r="DT10" i="2"/>
  <c r="DT11" i="2"/>
  <c r="DT12" i="2"/>
  <c r="DT13" i="2"/>
  <c r="DT14" i="2"/>
  <c r="DT15" i="2"/>
  <c r="DT16" i="2"/>
  <c r="DT17" i="2"/>
  <c r="DT18" i="2"/>
  <c r="DT19" i="2"/>
  <c r="DT20" i="2"/>
  <c r="DT21" i="2"/>
  <c r="DT22" i="2"/>
  <c r="DT23" i="2"/>
  <c r="DT24" i="2"/>
  <c r="DT25" i="2"/>
  <c r="DT26" i="2"/>
  <c r="DT27" i="2"/>
  <c r="DT28" i="2"/>
  <c r="DT29" i="2"/>
  <c r="DT30" i="2"/>
  <c r="DT2" i="2" a="1"/>
  <c r="DT2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B6" i="2"/>
  <c r="D6" i="2"/>
  <c r="BB6" i="2"/>
  <c r="BF6" i="2"/>
  <c r="BJ6" i="2"/>
  <c r="BR6" i="2"/>
  <c r="CA6" i="2"/>
  <c r="CE6" i="2"/>
  <c r="S6" i="2"/>
  <c r="BV6" i="2"/>
  <c r="CH6" i="2"/>
  <c r="B7" i="2"/>
  <c r="D7" i="2"/>
  <c r="BB7" i="2"/>
  <c r="BF7" i="2"/>
  <c r="BJ7" i="2"/>
  <c r="BR7" i="2"/>
  <c r="CA7" i="2"/>
  <c r="CE7" i="2"/>
  <c r="S7" i="2"/>
  <c r="BV7" i="2"/>
  <c r="CH7" i="2"/>
  <c r="B8" i="2"/>
  <c r="D8" i="2"/>
  <c r="BB8" i="2"/>
  <c r="BF8" i="2"/>
  <c r="BJ8" i="2"/>
  <c r="BR8" i="2"/>
  <c r="CA8" i="2"/>
  <c r="CE8" i="2"/>
  <c r="S8" i="2"/>
  <c r="BV8" i="2"/>
  <c r="CH8" i="2"/>
  <c r="B9" i="2"/>
  <c r="D9" i="2"/>
  <c r="BB9" i="2"/>
  <c r="BF9" i="2"/>
  <c r="BJ9" i="2"/>
  <c r="BR9" i="2"/>
  <c r="CA9" i="2"/>
  <c r="CE9" i="2"/>
  <c r="S9" i="2"/>
  <c r="BV9" i="2"/>
  <c r="CH9" i="2"/>
  <c r="B10" i="2"/>
  <c r="D10" i="2"/>
  <c r="BB10" i="2"/>
  <c r="BF10" i="2"/>
  <c r="BJ10" i="2"/>
  <c r="BR10" i="2"/>
  <c r="CA10" i="2"/>
  <c r="CE10" i="2"/>
  <c r="S10" i="2"/>
  <c r="BV10" i="2"/>
  <c r="CH10" i="2"/>
  <c r="B11" i="2"/>
  <c r="D11" i="2"/>
  <c r="BB11" i="2"/>
  <c r="BF11" i="2"/>
  <c r="BJ11" i="2"/>
  <c r="BR11" i="2"/>
  <c r="CA11" i="2"/>
  <c r="CE11" i="2"/>
  <c r="S11" i="2"/>
  <c r="BV11" i="2"/>
  <c r="CH11" i="2"/>
  <c r="B12" i="2"/>
  <c r="D12" i="2"/>
  <c r="BB12" i="2"/>
  <c r="BF12" i="2"/>
  <c r="BJ12" i="2"/>
  <c r="BR12" i="2"/>
  <c r="CA12" i="2"/>
  <c r="CE12" i="2"/>
  <c r="S12" i="2"/>
  <c r="BV12" i="2"/>
  <c r="CH12" i="2"/>
  <c r="B13" i="2"/>
  <c r="D13" i="2"/>
  <c r="BB13" i="2"/>
  <c r="BF13" i="2"/>
  <c r="BJ13" i="2"/>
  <c r="BR13" i="2"/>
  <c r="CA13" i="2"/>
  <c r="CE13" i="2"/>
  <c r="S13" i="2"/>
  <c r="BV13" i="2"/>
  <c r="CH13" i="2"/>
  <c r="B14" i="2"/>
  <c r="D14" i="2"/>
  <c r="BB14" i="2"/>
  <c r="BF14" i="2"/>
  <c r="BJ14" i="2"/>
  <c r="BR14" i="2"/>
  <c r="CA14" i="2"/>
  <c r="CE14" i="2"/>
  <c r="S14" i="2"/>
  <c r="BV14" i="2"/>
  <c r="CH14" i="2"/>
  <c r="B15" i="2"/>
  <c r="D15" i="2"/>
  <c r="BB15" i="2"/>
  <c r="BF15" i="2"/>
  <c r="BJ15" i="2"/>
  <c r="BR15" i="2"/>
  <c r="CA15" i="2"/>
  <c r="CE15" i="2"/>
  <c r="S15" i="2"/>
  <c r="BV15" i="2"/>
  <c r="CH15" i="2"/>
  <c r="B16" i="2"/>
  <c r="D16" i="2"/>
  <c r="BB16" i="2"/>
  <c r="BF16" i="2"/>
  <c r="BJ16" i="2"/>
  <c r="BR16" i="2"/>
  <c r="CA16" i="2"/>
  <c r="CE16" i="2"/>
  <c r="S16" i="2"/>
  <c r="BV16" i="2"/>
  <c r="CH16" i="2"/>
  <c r="B17" i="2"/>
  <c r="D17" i="2"/>
  <c r="BB17" i="2"/>
  <c r="BF17" i="2"/>
  <c r="BJ17" i="2"/>
  <c r="BR17" i="2"/>
  <c r="CA17" i="2"/>
  <c r="CE17" i="2"/>
  <c r="S17" i="2"/>
  <c r="BV17" i="2"/>
  <c r="CH17" i="2"/>
  <c r="B18" i="2"/>
  <c r="D18" i="2"/>
  <c r="BB18" i="2"/>
  <c r="BF18" i="2"/>
  <c r="BJ18" i="2"/>
  <c r="BR18" i="2"/>
  <c r="CA18" i="2"/>
  <c r="CE18" i="2"/>
  <c r="S18" i="2"/>
  <c r="BV18" i="2"/>
  <c r="CH18" i="2"/>
  <c r="B19" i="2"/>
  <c r="D19" i="2"/>
  <c r="BB19" i="2"/>
  <c r="BF19" i="2"/>
  <c r="BJ19" i="2"/>
  <c r="BR19" i="2"/>
  <c r="CA19" i="2"/>
  <c r="CE19" i="2"/>
  <c r="S19" i="2"/>
  <c r="BV19" i="2"/>
  <c r="CH19" i="2"/>
  <c r="B20" i="2"/>
  <c r="D20" i="2"/>
  <c r="BB20" i="2"/>
  <c r="BF20" i="2"/>
  <c r="BJ20" i="2"/>
  <c r="BR20" i="2"/>
  <c r="CA20" i="2"/>
  <c r="CE20" i="2"/>
  <c r="S20" i="2"/>
  <c r="BV20" i="2"/>
  <c r="CH20" i="2"/>
  <c r="B21" i="2"/>
  <c r="D21" i="2"/>
  <c r="BB21" i="2"/>
  <c r="BF21" i="2"/>
  <c r="BJ21" i="2"/>
  <c r="BR21" i="2"/>
  <c r="CA21" i="2"/>
  <c r="CE21" i="2"/>
  <c r="S21" i="2"/>
  <c r="BV21" i="2"/>
  <c r="CH21" i="2"/>
  <c r="B22" i="2"/>
  <c r="D22" i="2"/>
  <c r="BB22" i="2"/>
  <c r="BF22" i="2"/>
  <c r="BJ22" i="2"/>
  <c r="BR22" i="2"/>
  <c r="CA22" i="2"/>
  <c r="CE22" i="2"/>
  <c r="S22" i="2"/>
  <c r="BV22" i="2"/>
  <c r="CH22" i="2"/>
  <c r="B23" i="2"/>
  <c r="D23" i="2"/>
  <c r="BB23" i="2"/>
  <c r="BF23" i="2"/>
  <c r="BJ23" i="2"/>
  <c r="BR23" i="2"/>
  <c r="CA23" i="2"/>
  <c r="CE23" i="2"/>
  <c r="S23" i="2"/>
  <c r="BV23" i="2"/>
  <c r="CH23" i="2"/>
  <c r="B24" i="2"/>
  <c r="D24" i="2"/>
  <c r="BB24" i="2"/>
  <c r="BF24" i="2"/>
  <c r="BJ24" i="2"/>
  <c r="BR24" i="2"/>
  <c r="CA24" i="2"/>
  <c r="CE24" i="2"/>
  <c r="S24" i="2"/>
  <c r="BV24" i="2"/>
  <c r="CH24" i="2"/>
  <c r="B25" i="2"/>
  <c r="D25" i="2"/>
  <c r="BB25" i="2"/>
  <c r="BF25" i="2"/>
  <c r="BJ25" i="2"/>
  <c r="BR25" i="2"/>
  <c r="CA25" i="2"/>
  <c r="CE25" i="2"/>
  <c r="S25" i="2"/>
  <c r="BV25" i="2"/>
  <c r="CH25" i="2"/>
  <c r="B26" i="2"/>
  <c r="D26" i="2"/>
  <c r="BB26" i="2"/>
  <c r="BF26" i="2"/>
  <c r="BJ26" i="2"/>
  <c r="BR26" i="2"/>
  <c r="CA26" i="2"/>
  <c r="CE26" i="2"/>
  <c r="S26" i="2"/>
  <c r="BV26" i="2"/>
  <c r="CH26" i="2"/>
  <c r="B27" i="2"/>
  <c r="D27" i="2"/>
  <c r="BB27" i="2"/>
  <c r="BF27" i="2"/>
  <c r="BJ27" i="2"/>
  <c r="BR27" i="2"/>
  <c r="CA27" i="2"/>
  <c r="CE27" i="2"/>
  <c r="S27" i="2"/>
  <c r="BV27" i="2"/>
  <c r="CH27" i="2"/>
  <c r="B28" i="2"/>
  <c r="D28" i="2"/>
  <c r="BB28" i="2"/>
  <c r="BF28" i="2"/>
  <c r="BJ28" i="2"/>
  <c r="BR28" i="2"/>
  <c r="CA28" i="2"/>
  <c r="CE28" i="2"/>
  <c r="S28" i="2"/>
  <c r="BV28" i="2"/>
  <c r="CH28" i="2"/>
  <c r="B29" i="2"/>
  <c r="D29" i="2"/>
  <c r="BB29" i="2"/>
  <c r="BF29" i="2"/>
  <c r="BJ29" i="2"/>
  <c r="BR29" i="2"/>
  <c r="CA29" i="2"/>
  <c r="CE29" i="2"/>
  <c r="S29" i="2"/>
  <c r="BV29" i="2"/>
  <c r="CH29" i="2"/>
  <c r="B30" i="2"/>
  <c r="D30" i="2"/>
  <c r="BB30" i="2"/>
  <c r="BF30" i="2"/>
  <c r="BJ30" i="2"/>
  <c r="BR30" i="2"/>
  <c r="CA30" i="2"/>
  <c r="CE30" i="2"/>
  <c r="S30" i="2"/>
  <c r="BV30" i="2"/>
  <c r="CH30" i="2"/>
  <c r="S31" i="2"/>
  <c r="S32" i="2"/>
  <c r="S33" i="2"/>
  <c r="S3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<sst xmlns="http://schemas.openxmlformats.org/spreadsheetml/2006/main" count="387" uniqueCount="205">
  <si>
    <t>NA</t>
  </si>
  <si>
    <t>SCR 13-400AB</t>
  </si>
  <si>
    <t>SCR 13-300</t>
  </si>
  <si>
    <t>SCR 13-200</t>
  </si>
  <si>
    <t>SCR 13-100</t>
  </si>
  <si>
    <t>21-35T8A1-1~4</t>
  </si>
  <si>
    <t>21-35E2A1-1~4</t>
  </si>
  <si>
    <t>21-35V14 A1-4</t>
  </si>
  <si>
    <t>21-35V13A1-1~4</t>
  </si>
  <si>
    <t>21-35V10A1-1~A1-7</t>
  </si>
  <si>
    <t>21-35V8A1-1~A4-1
21-35V8A1-2~A4-2
21-35V8A1-3~A4-3
21-35V8A1-4~A4-4
21-35V8A1-5~A4-5
21-35V8A1-6~A4-6
21-35V8A1-7~A4-7</t>
  </si>
  <si>
    <t>21-35V7A1-1~A4-1
21-35V7A1-2~A4-2
21-35V7A1-3~A4-3
21-35V7A1-4~A4-4
21-35V7A1-5~A4-5
21-35V7A1-6~A4-6
21-35V7A1-7~A4-7</t>
  </si>
  <si>
    <t>21-35V6A1-1~A4-1
21-35V6A1-2~A4-2
21-35V6A1-3~A4-3
21-35V6A1-4~A4-4
21-35V6A1-5~A4-5
21-35V6A1-6~A4-6
21-35V6A1-7~A4-7</t>
  </si>
  <si>
    <t>21-35V5A1-1~A4-1
21-35V5A1-2~A4-2
21-35V5A1-3~A4-3
21-35V5A1-4~A4-4
21-35V5A1-5~A4-5
21-35V5A1-6~A4-6
21-35V5A1-7~A4-7</t>
  </si>
  <si>
    <t>21-35V4A1-1~A4-1
21-35V4A1-2~A4-2
21-35V4A1-3~A4-3
21-35V4A1-4~A4-4
21-35V4A1-5~A4-5
21-35V4A1-6~A4-6
21-35V4A1-7~A4-7</t>
  </si>
  <si>
    <t>21-35V3A1-1~A4-1
21-35V3A1-2~A4-2
21-35V3A1-3~A4-3
21-35V3A1-4~A4-4
21-35V3A1-5~A4-5
21-35V3A1-6~A4-6
21-35V3A1-7~A4-7</t>
  </si>
  <si>
    <t>21-35V2A1-1~A4-1
21-35V2A1-2~A4-2
21-35V2A1-3~A4-3
21-35V2A1-4~A4-4
21-35V2A1-5~A4-5
21-35V2A1-6~A4-6
21-35V2A1-7~A4-7</t>
  </si>
  <si>
    <t>21-35V1A1-1
21-35V1A1-2
21-35V1A1-3
21-35V1A1-4</t>
  </si>
  <si>
    <t>21-35T7A1-1~A2.-1
21-35T7A1-2~A2-2
21-35T7A1-3~A2-3
21-35T7A1-4~A2-4
21-35T7A1-5~A2-5
21-35T7A1-6~A2-6
21-35T7A1-7~A2-7</t>
  </si>
  <si>
    <t>21-35T6A1-1~A2-1
21-35T6A1-2~A2-2
21-35T6A1-3~A2-3
21-35T6A1-4~A2-4
21-35T6A1-5~A2-5
21-35T6A1-6~A2-6
21-35T6A1-7~A2-7</t>
  </si>
  <si>
    <t>21-35T1A1-1~A4-1
21-35T1A1-2~A4-2
21-35T1A1-3~A4-3
21-35T1A1-4~A4-4
21-35T1A1-5~A4-5
21-35T1A1-6~A4-6
21-35T1A1-7~A4-7</t>
  </si>
  <si>
    <t>21-32V4A1-1
21-32V4A1-2
21-32V4A1-3
21-32V4A1-4
21-32V4A1-5
21-32V4A1-6
21-32V4A1-7</t>
  </si>
  <si>
    <t>21-32V3A1-1~A4-1
21-32V3A1-2~A4-2
21-32V3A1-3~A4-3
21-32V3A1-4~A4-4
21-32V3A1-5~A4-5
21-32V3A1-6~A4-6
21-32V3A1-7~A4-7</t>
  </si>
  <si>
    <t xml:space="preserve">21-32V2A1-1~A4-1 
21-32V2A1-2~A4-2 
21-32V2A1-3~A4-3 
21-32V2A1-4~A4-4 
21-32V2A1-5~A4-5 
21-32V2A1-6~A4-6 
21-32V2A1-7~A4-7 </t>
  </si>
  <si>
    <t>21-31VA1~A4
21-31X7A1~A4
21-31V2A1-1~7 &amp; A2-1~7 &amp; A3-1~7 &amp; A4-1~7
21-31X6A1~A4
21-32X7A1-1~7
21-32E1A1-1~7&amp;A2-1~7&amp;A3-1~7&amp;A4-1~7
21-34X8A1-1~4~A2-1~4</t>
  </si>
  <si>
    <t>21-32R1-1~7
21-32R2-1~7
21-32R3-1~7
21-32R4-1~7</t>
  </si>
  <si>
    <t>BP-T24B09-PS-E-02-003</t>
  </si>
  <si>
    <t>Actual Weekly</t>
  </si>
  <si>
    <r>
      <rPr>
        <sz val="8"/>
        <color rgb="FF000000"/>
        <rFont val="宋体"/>
        <charset val="134"/>
      </rPr>
      <t>列</t>
    </r>
    <r>
      <rPr>
        <sz val="8"/>
        <color indexed="8"/>
        <rFont val="Arial"/>
        <family val="2"/>
      </rPr>
      <t>74</t>
    </r>
  </si>
  <si>
    <t>ACTUAL
[FIN/AL TECHNICAL DOCUMENTATION]</t>
  </si>
  <si>
    <t>FORECAST
[FIN/AL TECHNICAL DOCUMENTATION]</t>
  </si>
  <si>
    <t>Rebaseline Plan [FIN/AL TECHNICAL DOCUMENTATION]</t>
  </si>
  <si>
    <t>PLAN
[FIN/AL TECHNICAL DOCUMENTATION]</t>
  </si>
  <si>
    <t>ACTUAL
[RECEIVE ON SITE]</t>
  </si>
  <si>
    <t>FORECAST
[RECEIVE ON SITE]</t>
  </si>
  <si>
    <t>Rebaseline Plan [RECEIVE ON SITE]</t>
  </si>
  <si>
    <t>PLAN
[RECEIVE ON SITE]</t>
  </si>
  <si>
    <t>ACTUAL
[ETA]</t>
  </si>
  <si>
    <t>FORECAST
[ETA]</t>
  </si>
  <si>
    <t>Rebaseline Plan [ETA]</t>
  </si>
  <si>
    <t>PLAN
[ETA]</t>
  </si>
  <si>
    <t>ACTUAL
[ETD]</t>
  </si>
  <si>
    <t>FORECAST
[ETD]</t>
  </si>
  <si>
    <t>Rebaseline Plan [ETD]</t>
  </si>
  <si>
    <t>PLAN [ETD]</t>
  </si>
  <si>
    <t>ACTUAL
[SHIPMENT]</t>
  </si>
  <si>
    <t>FORECAST
[SHIPMENT]</t>
  </si>
  <si>
    <t>Rebaseline Plan</t>
  </si>
  <si>
    <t>PLAN
[SHIPMENT]</t>
  </si>
  <si>
    <t>FD</t>
  </si>
  <si>
    <t>ACTUAL
[COMPLETE FAT]</t>
  </si>
  <si>
    <t>FORECAST
[COMPLETE FAT]</t>
  </si>
  <si>
    <t>Rebaseline Plan [COMPLETE FAT]</t>
  </si>
  <si>
    <t>PLAN [COMPLETE FAT]</t>
  </si>
  <si>
    <t>ACTUAL
[RAW MATERIAL]</t>
  </si>
  <si>
    <t>FORECAST
[RAW MATERIAL]</t>
  </si>
  <si>
    <t>PLAN
[RAW MATERIAL]</t>
  </si>
  <si>
    <t>ACTUAL
[ITP]</t>
  </si>
  <si>
    <t>FORECAST
[ITP]</t>
  </si>
  <si>
    <t>Rebaseline Plan [ITP]</t>
  </si>
  <si>
    <t>PLAN [ITP]</t>
  </si>
  <si>
    <t>ACTUAL
[RECEIVE KVD]</t>
  </si>
  <si>
    <t>FORECAST
[RECEIVE KVD]</t>
  </si>
  <si>
    <t>PLAN
[RECEIVE KVD]</t>
  </si>
  <si>
    <t>ACTUAL
[ISSUED UPO]</t>
  </si>
  <si>
    <t>FORECAST
[ISSUED UPO]</t>
  </si>
  <si>
    <t>PLAN
[ISSUED UPO]</t>
  </si>
  <si>
    <t>ACTUAL
[PO]</t>
  </si>
  <si>
    <t>FORECAST
[PO]</t>
  </si>
  <si>
    <t>Rebaseline Plan [PO]</t>
  </si>
  <si>
    <t>PLAN
[PO]</t>
  </si>
  <si>
    <t>ACTUAL
[LOA]</t>
  </si>
  <si>
    <t>FORECAST
[LOA]</t>
  </si>
  <si>
    <t>PLAN
[LOA]</t>
  </si>
  <si>
    <t>ACTUAL
[ISSUE CBE]</t>
  </si>
  <si>
    <t>FORECAST
[ISSUE CBE]</t>
  </si>
  <si>
    <t>PLAN
[ISSUE CBE]</t>
  </si>
  <si>
    <t>ACTUAL
[ISSUE TBE]</t>
  </si>
  <si>
    <t>FORECAST
[ISSUE TBE]</t>
  </si>
  <si>
    <t>PLAN
[ISSUE TBE]</t>
  </si>
  <si>
    <t>ACTUAL
[BIDDER]</t>
  </si>
  <si>
    <t>FORECAST
[BIDDER]</t>
  </si>
  <si>
    <t>PLAN
[BIDDER]</t>
  </si>
  <si>
    <t>ACTUAL
[RFQ]</t>
  </si>
  <si>
    <t>FORECAST
[RFQ]</t>
  </si>
  <si>
    <t>PLAN
[RFQ]</t>
  </si>
  <si>
    <t>ACTUAL
[MR]</t>
  </si>
  <si>
    <t>FORECAST
[MR]</t>
  </si>
  <si>
    <t>PLAN 
[MR]</t>
  </si>
  <si>
    <t>ACTUAL
CUMULATIVE
EARNED WEIGHT3</t>
  </si>
  <si>
    <t>ACTUAL 
CUMULATIVE
[%] COMPLETE2</t>
  </si>
  <si>
    <t>F'CAST 
CUMULATIVE
EARNED WEIGHT</t>
  </si>
  <si>
    <t>F'CAST 
CUMULATIVE
[%] COMPLETE</t>
  </si>
  <si>
    <t>Rebaseline PLAN 
CUMULATIVE
EARNED WEIGHT</t>
  </si>
  <si>
    <t>Rebaseline PLAN
CUMULATIVE
[%] COMPLETE</t>
  </si>
  <si>
    <t>PLAN
CUMULATIVE
[%] COMPLETE</t>
  </si>
  <si>
    <t>TOTAL 
COST</t>
  </si>
  <si>
    <t>COST
BREAKDOWN</t>
  </si>
  <si>
    <t>ATTACHMENT [F]
PRICE
[USD]</t>
  </si>
  <si>
    <t>OVERALL
WEIGHT
FACTOR %</t>
  </si>
  <si>
    <t>PERCENTAGE 
[%]</t>
  </si>
  <si>
    <t>UOM</t>
  </si>
  <si>
    <t>QTY</t>
  </si>
  <si>
    <t>EQUIPMENT / MATERIAL DESCRIPTION</t>
  </si>
  <si>
    <t>TAG NUMBER</t>
  </si>
  <si>
    <t>PO No</t>
  </si>
  <si>
    <t>SUPPLIER</t>
  </si>
  <si>
    <t>MR
[DESCRIPTION]</t>
  </si>
  <si>
    <t>MR 
[NUMBER]</t>
  </si>
  <si>
    <t>PO 
[DESCRIPTION]</t>
  </si>
  <si>
    <t>SUB 
UNIT 
[CODE]</t>
  </si>
  <si>
    <t>UNIT 
UNIQUE 
[CODE]</t>
  </si>
  <si>
    <t>UNIT 
[CODE]</t>
  </si>
  <si>
    <t>DISCIPLINE 
[CODE]</t>
  </si>
  <si>
    <t>Actual Cumulative</t>
  </si>
  <si>
    <t>RECEIVE ON SITE &amp; INCOMING CONTROL</t>
  </si>
  <si>
    <t>ETA</t>
  </si>
  <si>
    <t>ETD</t>
  </si>
  <si>
    <t>READY FOR SHIPMENT</t>
  </si>
  <si>
    <t>FABRICATION PERIOD</t>
  </si>
  <si>
    <t>COMPLETE FACTORY ACCEPTANCE TEST</t>
  </si>
  <si>
    <t>RAW MATERIAL DELIVERED TO VENDOR'S SHOP</t>
  </si>
  <si>
    <t>ITP</t>
  </si>
  <si>
    <t>RECEIVE KEY VENDOR DATA</t>
  </si>
  <si>
    <t>ISSUED UPO TO OWNER</t>
  </si>
  <si>
    <t>PURCHASE ORDER</t>
  </si>
  <si>
    <t>LOA</t>
  </si>
  <si>
    <t>ISSUE CBE</t>
  </si>
  <si>
    <t>ISSUE TBE</t>
  </si>
  <si>
    <t>BIDDER RESPONSE DATE</t>
  </si>
  <si>
    <t>ISSUE RFQ TO BIDDER</t>
  </si>
  <si>
    <t>RECEIVE MR</t>
  </si>
  <si>
    <t>Rebaseline Weekly</t>
  </si>
  <si>
    <t>INCOMING 
CONTROL 4</t>
  </si>
  <si>
    <t>INCOMING 
CONTROL 3</t>
  </si>
  <si>
    <t>INCOMING 
CONTROL 2</t>
  </si>
  <si>
    <t>INCOMING 
CONTROL 1</t>
  </si>
  <si>
    <t>ETA4</t>
  </si>
  <si>
    <t>分析</t>
  </si>
  <si>
    <t>ETA3</t>
  </si>
  <si>
    <t>ETA2</t>
  </si>
  <si>
    <t>ETA1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</si>
  <si>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</si>
  <si>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</si>
  <si>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</si>
  <si>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</si>
  <si>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</si>
  <si>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</si>
  <si>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</si>
  <si>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</si>
  <si>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</si>
  <si>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</si>
  <si>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</si>
  <si>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</si>
  <si>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</si>
  <si>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</si>
  <si>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</si>
  <si>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</si>
  <si>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</si>
  <si>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</si>
  <si>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</si>
  <si>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</si>
  <si>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</si>
  <si>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</si>
  <si>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</si>
  <si>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</si>
  <si>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Rebaseline Plan Cumulative</t>
  </si>
  <si>
    <t>FINAL TECHNICAL DOCUMENTATION PROVIDED</t>
  </si>
  <si>
    <t>INCOMING 
CONTROL 
ON SITE
IS DONE</t>
  </si>
  <si>
    <t>SHIPPING 
[FOB OR EX-WORKS]</t>
  </si>
  <si>
    <t xml:space="preserve">RECEIVED RAW MATERIAL </t>
  </si>
  <si>
    <t>PURCHASE ORDER PLACED</t>
  </si>
  <si>
    <t>SHORT LIST ISSUED</t>
  </si>
  <si>
    <t>DELTA</t>
  </si>
  <si>
    <t>ACTUAL</t>
  </si>
  <si>
    <t>F'CAST</t>
  </si>
  <si>
    <t>Rebaseline PLAN</t>
  </si>
  <si>
    <t>CONTRACT PRICE:</t>
  </si>
  <si>
    <t>0</t>
  </si>
  <si>
    <t>Supplier 1</t>
  </si>
  <si>
    <t>Supplier 2</t>
  </si>
  <si>
    <t>Supplier 3</t>
  </si>
  <si>
    <t>Centrifugal Pump</t>
  </si>
  <si>
    <t>Heat Exchanger</t>
  </si>
  <si>
    <t>Gate Valve 2</t>
  </si>
  <si>
    <t>Storage Tank</t>
  </si>
  <si>
    <t>Pressure Transmitter</t>
  </si>
  <si>
    <t>BS-PS-E-02-01</t>
  </si>
  <si>
    <t>BP-T2-PTT - 001</t>
  </si>
  <si>
    <t>B09-PKEL-011-E</t>
  </si>
  <si>
    <t>K2S-反应器（曼海姆炉t硫酸钾处理单元</t>
  </si>
  <si>
    <t>Pump Station</t>
  </si>
  <si>
    <t>Heat Exchanger Unit</t>
  </si>
  <si>
    <t>PRO-7-30-001-PEP-SI</t>
  </si>
  <si>
    <t>MIG-21-30-32-002</t>
  </si>
  <si>
    <t>LSO-7G-30-32-003-QER</t>
  </si>
  <si>
    <t xml:space="preserve">Purchase order 01 </t>
  </si>
  <si>
    <t xml:space="preserve">Purchase order 02 </t>
  </si>
  <si>
    <t>Purchase order 03</t>
  </si>
  <si>
    <t>Purchase order 04</t>
  </si>
  <si>
    <t>21-30</t>
  </si>
  <si>
    <t>22-77</t>
  </si>
  <si>
    <t>PR</t>
  </si>
  <si>
    <t>MI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</si>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</sst>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_);[Red]\(0.00\)"/>
    <numFmt numFmtId="165" formatCode="_-* #,##0.00\ _₸_-;\-* #,##0.00\ _₸_-;_-* &quot;-&quot;??\ _₸_-;_-@_-"/>
    <numFmt numFmtId="166" formatCode="_ * #,##0.00_ ;_ * \-#,##0.00_ ;_ * &quot;-&quot;??_ ;_ @_ "/>
    <numFmt numFmtId="167" formatCode="[$-409]d\-mmm\-yy;@"/>
    <numFmt numFmtId="168" formatCode="0_ "/>
    <numFmt numFmtId="169" formatCode="0.00000%"/>
    <numFmt numFmtId="170" formatCode="yyyy/m/d;@"/>
  </numFmts>
  <fonts count="2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8"/>
      <name val="Arial"/>
      <family val="2"/>
    </font>
    <font>
      <sz val="8"/>
      <color rgb="FF000000"/>
      <name val="Arial"/>
      <family val="2"/>
    </font>
    <font>
      <sz val="8"/>
      <color rgb="FF000000"/>
      <name val="宋体"/>
      <charset val="134"/>
    </font>
    <font>
      <sz val="8"/>
      <color rgb="FF002060"/>
      <name val="Arial"/>
      <family val="2"/>
    </font>
    <font>
      <sz val="9"/>
      <color rgb="FF000000"/>
      <name val="Courier New"/>
      <family val="1"/>
    </font>
    <font>
      <sz val="11"/>
      <color rgb="FF000000"/>
      <name val="宋体"/>
      <charset val="134"/>
    </font>
    <font>
      <sz val="8"/>
      <color indexed="8"/>
      <name val="Arial"/>
      <family val="2"/>
    </font>
    <font>
      <sz val="8"/>
      <color rgb="FFC00000"/>
      <name val="Arial"/>
      <family val="2"/>
    </font>
    <font>
      <sz val="8"/>
      <color rgb="FF375623"/>
      <name val="Arial"/>
      <family val="2"/>
    </font>
    <font>
      <sz val="8"/>
      <color rgb="FF1F4E78"/>
      <name val="Arial"/>
      <family val="2"/>
    </font>
    <font>
      <b/>
      <sz val="8"/>
      <color rgb="FFC00000"/>
      <name val="Arial"/>
      <family val="2"/>
    </font>
    <font>
      <b/>
      <sz val="8"/>
      <name val="Arial"/>
      <family val="2"/>
    </font>
    <font>
      <b/>
      <sz val="8"/>
      <color rgb="FF375623"/>
      <name val="Arial"/>
      <family val="2"/>
    </font>
    <font>
      <b/>
      <sz val="8"/>
      <color rgb="FF0000FF"/>
      <name val="Arial"/>
      <family val="2"/>
    </font>
    <font>
      <sz val="10"/>
      <name val="宋体"/>
      <charset val="134"/>
    </font>
    <font>
      <sz val="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67" fontId="2" fillId="0" borderId="0"/>
  </cellStyleXfs>
  <cellXfs count="136">
    <xf numFmtId="0" fontId="0" fillId="0" borderId="0" xfId="0"/>
    <xf numFmtId="0" fontId="2" fillId="0" borderId="0" xfId="1" applyFont="1">
      <alignment vertical="center"/>
    </xf>
    <xf numFmtId="0" fontId="2" fillId="2" borderId="0" xfId="1" applyFont="1" applyFill="1">
      <alignment vertical="center"/>
    </xf>
    <xf numFmtId="164" fontId="2" fillId="0" borderId="0" xfId="1" applyNumberFormat="1" applyFont="1">
      <alignment vertical="center"/>
    </xf>
    <xf numFmtId="0" fontId="2" fillId="3" borderId="0" xfId="1" applyFont="1" applyFill="1">
      <alignment vertical="center"/>
    </xf>
    <xf numFmtId="0" fontId="2" fillId="4" borderId="0" xfId="1" applyFont="1" applyFill="1">
      <alignment vertical="center"/>
    </xf>
    <xf numFmtId="10" fontId="2" fillId="4" borderId="0" xfId="1" applyNumberFormat="1" applyFont="1" applyFill="1">
      <alignment vertical="center"/>
    </xf>
    <xf numFmtId="9" fontId="2" fillId="4" borderId="0" xfId="2" applyFont="1" applyFill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>
      <alignment vertical="center"/>
    </xf>
    <xf numFmtId="9" fontId="4" fillId="4" borderId="1" xfId="2" applyFont="1" applyFill="1" applyBorder="1" applyAlignment="1">
      <alignment vertical="center"/>
    </xf>
    <xf numFmtId="14" fontId="4" fillId="2" borderId="1" xfId="1" applyNumberFormat="1" applyFont="1" applyFill="1" applyBorder="1">
      <alignment vertical="center"/>
    </xf>
    <xf numFmtId="14" fontId="4" fillId="0" borderId="1" xfId="1" applyNumberFormat="1" applyFont="1" applyBorder="1">
      <alignment vertical="center"/>
    </xf>
    <xf numFmtId="49" fontId="5" fillId="0" borderId="1" xfId="1" applyNumberFormat="1" applyFont="1" applyBorder="1" applyAlignment="1" applyProtection="1">
      <alignment horizontal="left" vertical="center"/>
      <protection locked="0"/>
    </xf>
    <xf numFmtId="164" fontId="4" fillId="2" borderId="1" xfId="1" applyNumberFormat="1" applyFont="1" applyFill="1" applyBorder="1">
      <alignment vertical="center"/>
    </xf>
    <xf numFmtId="164" fontId="4" fillId="0" borderId="1" xfId="1" applyNumberFormat="1" applyFont="1" applyBorder="1">
      <alignment vertical="center"/>
    </xf>
    <xf numFmtId="14" fontId="5" fillId="2" borderId="1" xfId="1" applyNumberFormat="1" applyFont="1" applyFill="1" applyBorder="1">
      <alignment vertical="center"/>
    </xf>
    <xf numFmtId="14" fontId="5" fillId="0" borderId="1" xfId="1" applyNumberFormat="1" applyFont="1" applyBorder="1">
      <alignment vertical="center"/>
    </xf>
    <xf numFmtId="0" fontId="4" fillId="4" borderId="1" xfId="1" applyFont="1" applyFill="1" applyBorder="1">
      <alignment vertical="center"/>
    </xf>
    <xf numFmtId="10" fontId="4" fillId="4" borderId="1" xfId="1" applyNumberFormat="1" applyFont="1" applyFill="1" applyBorder="1">
      <alignment vertical="center"/>
    </xf>
    <xf numFmtId="165" fontId="4" fillId="4" borderId="1" xfId="1" applyNumberFormat="1" applyFont="1" applyFill="1" applyBorder="1" applyAlignment="1" applyProtection="1">
      <alignment horizontal="left" vertical="center" wrapText="1" shrinkToFit="1"/>
      <protection locked="0"/>
    </xf>
    <xf numFmtId="166" fontId="4" fillId="4" borderId="1" xfId="1" applyNumberFormat="1" applyFont="1" applyFill="1" applyBorder="1">
      <alignment vertical="center"/>
    </xf>
    <xf numFmtId="10" fontId="4" fillId="4" borderId="1" xfId="2" applyNumberFormat="1" applyFont="1" applyFill="1" applyBorder="1" applyAlignment="1" applyProtection="1">
      <alignment horizontal="left" vertical="center"/>
      <protection locked="0"/>
    </xf>
    <xf numFmtId="49" fontId="5" fillId="5" borderId="1" xfId="1" applyNumberFormat="1" applyFont="1" applyFill="1" applyBorder="1" applyAlignment="1" applyProtection="1">
      <alignment horizontal="left" vertical="center"/>
      <protection locked="0"/>
    </xf>
    <xf numFmtId="49" fontId="4" fillId="5" borderId="1" xfId="1" applyNumberFormat="1" applyFont="1" applyFill="1" applyBorder="1" applyAlignment="1" applyProtection="1">
      <alignment horizontal="left" vertical="center"/>
      <protection locked="0"/>
    </xf>
    <xf numFmtId="0" fontId="7" fillId="5" borderId="1" xfId="1" applyFont="1" applyFill="1" applyBorder="1" applyAlignment="1" applyProtection="1">
      <alignment horizontal="center" vertical="center"/>
      <protection locked="0"/>
    </xf>
    <xf numFmtId="167" fontId="7" fillId="5" borderId="1" xfId="1" applyNumberFormat="1" applyFont="1" applyFill="1" applyBorder="1" applyAlignment="1" applyProtection="1">
      <alignment horizontal="center" vertical="center"/>
      <protection locked="0"/>
    </xf>
    <xf numFmtId="167" fontId="7" fillId="5" borderId="2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Font="1" applyBorder="1">
      <alignment vertical="center"/>
    </xf>
    <xf numFmtId="49" fontId="5" fillId="5" borderId="1" xfId="1" applyNumberFormat="1" applyFont="1" applyFill="1" applyBorder="1" applyAlignment="1" applyProtection="1">
      <alignment horizontal="left" vertical="center" wrapText="1"/>
      <protection locked="0"/>
    </xf>
    <xf numFmtId="49" fontId="5" fillId="0" borderId="1" xfId="1" applyNumberFormat="1" applyFont="1" applyBorder="1" applyAlignment="1" applyProtection="1">
      <alignment horizontal="left" vertical="center" wrapText="1"/>
      <protection locked="0"/>
    </xf>
    <xf numFmtId="168" fontId="4" fillId="5" borderId="1" xfId="1" applyNumberFormat="1" applyFont="1" applyFill="1" applyBorder="1" applyAlignment="1" applyProtection="1">
      <alignment horizontal="center" vertical="center"/>
      <protection locked="0"/>
    </xf>
    <xf numFmtId="49" fontId="5" fillId="6" borderId="1" xfId="1" applyNumberFormat="1" applyFont="1" applyFill="1" applyBorder="1" applyAlignment="1" applyProtection="1">
      <alignment horizontal="left" vertical="center"/>
      <protection locked="0"/>
    </xf>
    <xf numFmtId="49" fontId="4" fillId="6" borderId="1" xfId="1" applyNumberFormat="1" applyFont="1" applyFill="1" applyBorder="1" applyAlignment="1" applyProtection="1">
      <alignment horizontal="left" vertical="center"/>
      <protection locked="0"/>
    </xf>
    <xf numFmtId="0" fontId="4" fillId="0" borderId="3" xfId="1" applyFont="1" applyBorder="1">
      <alignment vertical="center"/>
    </xf>
    <xf numFmtId="167" fontId="8" fillId="6" borderId="0" xfId="1" applyNumberFormat="1" applyFont="1" applyFill="1" applyAlignment="1">
      <alignment horizontal="center" vertical="center"/>
    </xf>
    <xf numFmtId="10" fontId="2" fillId="6" borderId="0" xfId="1" applyNumberFormat="1" applyFont="1" applyFill="1">
      <alignment vertical="center"/>
    </xf>
    <xf numFmtId="10" fontId="2" fillId="0" borderId="5" xfId="1" applyNumberFormat="1" applyFont="1" applyBorder="1" applyAlignment="1">
      <alignment horizontal="right" vertical="center"/>
    </xf>
    <xf numFmtId="0" fontId="9" fillId="7" borderId="0" xfId="1" applyFont="1" applyFill="1">
      <alignment vertical="center"/>
    </xf>
    <xf numFmtId="167" fontId="6" fillId="6" borderId="4" xfId="1" applyNumberFormat="1" applyFont="1" applyFill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 wrapText="1"/>
    </xf>
    <xf numFmtId="167" fontId="4" fillId="6" borderId="1" xfId="1" applyNumberFormat="1" applyFont="1" applyFill="1" applyBorder="1" applyAlignment="1">
      <alignment horizontal="center" vertical="center" wrapText="1"/>
    </xf>
    <xf numFmtId="167" fontId="5" fillId="0" borderId="1" xfId="1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4" fontId="4" fillId="6" borderId="1" xfId="3" applyNumberFormat="1" applyFont="1" applyFill="1" applyBorder="1" applyAlignment="1">
      <alignment horizontal="center" vertical="center" wrapText="1"/>
    </xf>
    <xf numFmtId="167" fontId="4" fillId="6" borderId="1" xfId="1" applyNumberFormat="1" applyFont="1" applyFill="1" applyBorder="1" applyAlignment="1" applyProtection="1">
      <alignment horizontal="center" vertical="center" wrapText="1"/>
      <protection locked="0"/>
    </xf>
    <xf numFmtId="167" fontId="4" fillId="3" borderId="1" xfId="1" applyNumberFormat="1" applyFont="1" applyFill="1" applyBorder="1" applyAlignment="1">
      <alignment horizontal="center" vertical="center" wrapText="1"/>
    </xf>
    <xf numFmtId="43" fontId="11" fillId="4" borderId="1" xfId="1" applyNumberFormat="1" applyFont="1" applyFill="1" applyBorder="1" applyAlignment="1">
      <alignment horizontal="center" vertical="center" wrapText="1"/>
    </xf>
    <xf numFmtId="167" fontId="11" fillId="4" borderId="1" xfId="1" applyNumberFormat="1" applyFont="1" applyFill="1" applyBorder="1" applyAlignment="1">
      <alignment horizontal="center" vertical="center" wrapText="1"/>
    </xf>
    <xf numFmtId="43" fontId="12" fillId="4" borderId="1" xfId="1" applyNumberFormat="1" applyFont="1" applyFill="1" applyBorder="1" applyAlignment="1">
      <alignment horizontal="center" vertical="center" wrapText="1"/>
    </xf>
    <xf numFmtId="10" fontId="12" fillId="4" borderId="1" xfId="1" applyNumberFormat="1" applyFont="1" applyFill="1" applyBorder="1" applyAlignment="1">
      <alignment horizontal="center" vertical="center" wrapText="1"/>
    </xf>
    <xf numFmtId="43" fontId="13" fillId="4" borderId="1" xfId="1" applyNumberFormat="1" applyFont="1" applyFill="1" applyBorder="1" applyAlignment="1">
      <alignment horizontal="center" vertical="center" wrapText="1"/>
    </xf>
    <xf numFmtId="167" fontId="13" fillId="4" borderId="1" xfId="1" applyNumberFormat="1" applyFont="1" applyFill="1" applyBorder="1" applyAlignment="1">
      <alignment horizontal="center" vertical="center" wrapText="1"/>
    </xf>
    <xf numFmtId="9" fontId="4" fillId="4" borderId="1" xfId="2" applyFont="1" applyFill="1" applyBorder="1" applyAlignment="1" applyProtection="1">
      <alignment horizontal="center" vertical="center" wrapText="1"/>
      <protection locked="0"/>
    </xf>
    <xf numFmtId="167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1" applyFont="1" applyFill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167" fontId="4" fillId="6" borderId="1" xfId="1" applyNumberFormat="1" applyFont="1" applyFill="1" applyBorder="1" applyAlignment="1" applyProtection="1">
      <alignment horizontal="left" vertical="center" wrapText="1"/>
      <protection locked="0"/>
    </xf>
    <xf numFmtId="0" fontId="4" fillId="6" borderId="1" xfId="1" applyFont="1" applyFill="1" applyBorder="1" applyAlignment="1" applyProtection="1">
      <alignment horizontal="center" vertical="center" wrapText="1"/>
      <protection locked="0"/>
    </xf>
    <xf numFmtId="167" fontId="4" fillId="6" borderId="2" xfId="1" applyNumberFormat="1" applyFont="1" applyFill="1" applyBorder="1" applyAlignment="1" applyProtection="1">
      <alignment horizontal="center" vertical="center" wrapText="1"/>
      <protection locked="0"/>
    </xf>
    <xf numFmtId="167" fontId="8" fillId="6" borderId="0" xfId="1" applyNumberFormat="1" applyFont="1" applyFill="1" applyAlignment="1">
      <alignment horizontal="left" vertical="center"/>
    </xf>
    <xf numFmtId="10" fontId="2" fillId="6" borderId="5" xfId="1" applyNumberFormat="1" applyFont="1" applyFill="1" applyBorder="1">
      <alignment vertical="center"/>
    </xf>
    <xf numFmtId="10" fontId="3" fillId="6" borderId="5" xfId="1" applyNumberFormat="1" applyFont="1" applyFill="1" applyBorder="1">
      <alignment vertical="center"/>
    </xf>
    <xf numFmtId="0" fontId="1" fillId="7" borderId="0" xfId="1" applyFill="1">
      <alignment vertical="center"/>
    </xf>
    <xf numFmtId="167" fontId="5" fillId="6" borderId="4" xfId="1" applyNumberFormat="1" applyFont="1" applyFill="1" applyBorder="1" applyAlignment="1">
      <alignment horizontal="left" vertical="center"/>
    </xf>
    <xf numFmtId="43" fontId="14" fillId="4" borderId="1" xfId="2" applyNumberFormat="1" applyFont="1" applyFill="1" applyBorder="1" applyAlignment="1">
      <alignment horizontal="left" vertical="center"/>
    </xf>
    <xf numFmtId="10" fontId="15" fillId="4" borderId="1" xfId="2" applyNumberFormat="1" applyFont="1" applyFill="1" applyBorder="1" applyAlignment="1">
      <alignment horizontal="center" vertical="center" wrapText="1"/>
    </xf>
    <xf numFmtId="43" fontId="16" fillId="4" borderId="1" xfId="2" applyNumberFormat="1" applyFont="1" applyFill="1" applyBorder="1" applyAlignment="1">
      <alignment horizontal="left" vertical="center"/>
    </xf>
    <xf numFmtId="43" fontId="17" fillId="4" borderId="1" xfId="2" applyNumberFormat="1" applyFont="1" applyFill="1" applyBorder="1" applyAlignment="1">
      <alignment horizontal="left" vertical="center"/>
    </xf>
    <xf numFmtId="169" fontId="15" fillId="4" borderId="1" xfId="2" applyNumberFormat="1" applyFont="1" applyFill="1" applyBorder="1" applyAlignment="1">
      <alignment horizontal="center" vertical="center" wrapText="1"/>
    </xf>
    <xf numFmtId="9" fontId="14" fillId="4" borderId="1" xfId="2" applyFont="1" applyFill="1" applyBorder="1" applyAlignment="1" applyProtection="1">
      <alignment horizontal="left" vertical="center" wrapText="1"/>
      <protection locked="0"/>
    </xf>
    <xf numFmtId="43" fontId="14" fillId="4" borderId="1" xfId="1" applyNumberFormat="1" applyFont="1" applyFill="1" applyBorder="1" applyAlignment="1" applyProtection="1">
      <alignment horizontal="left" vertical="center" wrapText="1"/>
      <protection locked="0"/>
    </xf>
    <xf numFmtId="43" fontId="14" fillId="4" borderId="1" xfId="1" applyNumberFormat="1" applyFont="1" applyFill="1" applyBorder="1" applyProtection="1">
      <alignment vertical="center"/>
      <protection locked="0"/>
    </xf>
    <xf numFmtId="43" fontId="14" fillId="4" borderId="1" xfId="1" applyNumberFormat="1" applyFont="1" applyFill="1" applyBorder="1" applyAlignment="1" applyProtection="1">
      <alignment horizontal="right" vertical="center"/>
      <protection locked="0"/>
    </xf>
    <xf numFmtId="49" fontId="5" fillId="4" borderId="6" xfId="1" applyNumberFormat="1" applyFont="1" applyFill="1" applyBorder="1" applyAlignment="1" applyProtection="1">
      <alignment vertical="center" wrapText="1"/>
      <protection locked="0"/>
    </xf>
    <xf numFmtId="49" fontId="5" fillId="4" borderId="7" xfId="1" applyNumberFormat="1" applyFont="1" applyFill="1" applyBorder="1" applyAlignment="1" applyProtection="1">
      <alignment vertical="center" wrapText="1"/>
      <protection locked="0"/>
    </xf>
    <xf numFmtId="49" fontId="5" fillId="0" borderId="7" xfId="1" applyNumberFormat="1" applyFont="1" applyBorder="1" applyAlignment="1" applyProtection="1">
      <alignment vertical="center" wrapText="1"/>
      <protection locked="0"/>
    </xf>
    <xf numFmtId="49" fontId="5" fillId="6" borderId="7" xfId="1" applyNumberFormat="1" applyFont="1" applyFill="1" applyBorder="1" applyAlignment="1" applyProtection="1">
      <alignment horizontal="left" vertical="center" wrapText="1"/>
      <protection locked="0"/>
    </xf>
    <xf numFmtId="49" fontId="5" fillId="6" borderId="7" xfId="1" applyNumberFormat="1" applyFont="1" applyFill="1" applyBorder="1" applyAlignment="1" applyProtection="1">
      <alignment vertical="center" wrapText="1"/>
      <protection locked="0"/>
    </xf>
    <xf numFmtId="0" fontId="5" fillId="6" borderId="1" xfId="1" applyFont="1" applyFill="1" applyBorder="1" applyAlignment="1" applyProtection="1">
      <alignment vertical="center" wrapText="1"/>
      <protection locked="0"/>
    </xf>
    <xf numFmtId="49" fontId="5" fillId="6" borderId="1" xfId="1" applyNumberFormat="1" applyFont="1" applyFill="1" applyBorder="1" applyAlignment="1" applyProtection="1">
      <alignment vertical="center" wrapText="1"/>
      <protection locked="0"/>
    </xf>
    <xf numFmtId="49" fontId="5" fillId="6" borderId="2" xfId="1" applyNumberFormat="1" applyFont="1" applyFill="1" applyBorder="1" applyAlignment="1" applyProtection="1">
      <alignment vertical="center" wrapText="1"/>
      <protection locked="0"/>
    </xf>
    <xf numFmtId="10" fontId="2" fillId="0" borderId="0" xfId="1" applyNumberFormat="1" applyFont="1">
      <alignment vertical="center"/>
    </xf>
    <xf numFmtId="10" fontId="3" fillId="4" borderId="5" xfId="1" applyNumberFormat="1" applyFont="1" applyFill="1" applyBorder="1" applyAlignment="1">
      <alignment vertical="center" wrapText="1"/>
    </xf>
    <xf numFmtId="10" fontId="2" fillId="0" borderId="5" xfId="1" applyNumberFormat="1" applyFont="1" applyBorder="1">
      <alignment vertical="center"/>
    </xf>
    <xf numFmtId="164" fontId="5" fillId="2" borderId="1" xfId="3" applyNumberFormat="1" applyFont="1" applyFill="1" applyBorder="1" applyAlignment="1">
      <alignment horizontal="center" vertical="center" wrapText="1"/>
    </xf>
    <xf numFmtId="164" fontId="5" fillId="0" borderId="1" xfId="3" applyNumberFormat="1" applyFont="1" applyBorder="1" applyAlignment="1">
      <alignment horizontal="center" vertical="center" wrapText="1"/>
    </xf>
    <xf numFmtId="164" fontId="5" fillId="6" borderId="1" xfId="3" applyNumberFormat="1" applyFont="1" applyFill="1" applyBorder="1" applyAlignment="1">
      <alignment horizontal="center" vertical="center" wrapText="1"/>
    </xf>
    <xf numFmtId="49" fontId="5" fillId="4" borderId="0" xfId="1" applyNumberFormat="1" applyFont="1" applyFill="1" applyAlignment="1" applyProtection="1">
      <alignment vertical="center" wrapText="1"/>
      <protection locked="0"/>
    </xf>
    <xf numFmtId="10" fontId="5" fillId="4" borderId="0" xfId="1" applyNumberFormat="1" applyFont="1" applyFill="1" applyAlignment="1" applyProtection="1">
      <alignment vertical="center" wrapText="1"/>
      <protection locked="0"/>
    </xf>
    <xf numFmtId="9" fontId="5" fillId="4" borderId="0" xfId="2" applyFont="1" applyFill="1" applyAlignment="1" applyProtection="1">
      <alignment vertical="center" wrapText="1"/>
      <protection locked="0"/>
    </xf>
    <xf numFmtId="49" fontId="5" fillId="4" borderId="8" xfId="1" applyNumberFormat="1" applyFont="1" applyFill="1" applyBorder="1" applyAlignment="1" applyProtection="1">
      <alignment vertical="center" wrapText="1"/>
      <protection locked="0"/>
    </xf>
    <xf numFmtId="49" fontId="5" fillId="0" borderId="0" xfId="1" applyNumberFormat="1" applyFont="1" applyAlignment="1" applyProtection="1">
      <alignment vertical="center" wrapText="1"/>
      <protection locked="0"/>
    </xf>
    <xf numFmtId="49" fontId="5" fillId="6" borderId="0" xfId="1" applyNumberFormat="1" applyFont="1" applyFill="1" applyAlignment="1" applyProtection="1">
      <alignment horizontal="left" vertical="center" wrapText="1"/>
      <protection locked="0"/>
    </xf>
    <xf numFmtId="49" fontId="5" fillId="6" borderId="0" xfId="1" applyNumberFormat="1" applyFont="1" applyFill="1" applyAlignment="1" applyProtection="1">
      <alignment vertical="center" wrapText="1"/>
      <protection locked="0"/>
    </xf>
    <xf numFmtId="49" fontId="5" fillId="6" borderId="0" xfId="1" applyNumberFormat="1" applyFont="1" applyFill="1" applyProtection="1">
      <alignment vertical="center"/>
      <protection locked="0"/>
    </xf>
    <xf numFmtId="170" fontId="18" fillId="0" borderId="5" xfId="1" applyNumberFormat="1" applyFont="1" applyBorder="1">
      <alignment vertical="center"/>
    </xf>
    <xf numFmtId="170" fontId="18" fillId="4" borderId="5" xfId="1" applyNumberFormat="1" applyFont="1" applyFill="1" applyBorder="1">
      <alignment vertical="center"/>
    </xf>
    <xf numFmtId="170" fontId="18" fillId="2" borderId="5" xfId="1" applyNumberFormat="1" applyFont="1" applyFill="1" applyBorder="1">
      <alignment vertical="center"/>
    </xf>
    <xf numFmtId="170" fontId="18" fillId="3" borderId="5" xfId="1" applyNumberFormat="1" applyFont="1" applyFill="1" applyBorder="1">
      <alignment vertical="center"/>
    </xf>
    <xf numFmtId="167" fontId="5" fillId="6" borderId="9" xfId="1" applyNumberFormat="1" applyFont="1" applyFill="1" applyBorder="1" applyAlignment="1">
      <alignment horizontal="left" vertical="center"/>
    </xf>
    <xf numFmtId="9" fontId="5" fillId="2" borderId="10" xfId="2" applyFont="1" applyFill="1" applyBorder="1" applyAlignment="1">
      <alignment horizontal="center" vertical="center"/>
    </xf>
    <xf numFmtId="9" fontId="5" fillId="6" borderId="10" xfId="2" applyFont="1" applyFill="1" applyBorder="1" applyAlignment="1">
      <alignment horizontal="center" vertical="center"/>
    </xf>
    <xf numFmtId="9" fontId="5" fillId="0" borderId="10" xfId="2" applyFont="1" applyFill="1" applyBorder="1" applyAlignment="1">
      <alignment horizontal="center" vertical="center"/>
    </xf>
    <xf numFmtId="164" fontId="5" fillId="6" borderId="10" xfId="2" applyNumberFormat="1" applyFont="1" applyFill="1" applyBorder="1" applyAlignment="1">
      <alignment horizontal="center" vertical="center"/>
    </xf>
    <xf numFmtId="167" fontId="5" fillId="6" borderId="10" xfId="1" applyNumberFormat="1" applyFont="1" applyFill="1" applyBorder="1" applyAlignment="1">
      <alignment horizontal="center" vertical="center"/>
    </xf>
    <xf numFmtId="9" fontId="5" fillId="6" borderId="10" xfId="2" applyFont="1" applyFill="1" applyBorder="1" applyAlignment="1" applyProtection="1">
      <alignment horizontal="center" vertical="center"/>
      <protection locked="0"/>
    </xf>
    <xf numFmtId="167" fontId="5" fillId="0" borderId="10" xfId="1" applyNumberFormat="1" applyFont="1" applyBorder="1" applyAlignment="1">
      <alignment horizontal="center" vertical="center"/>
    </xf>
    <xf numFmtId="9" fontId="5" fillId="3" borderId="10" xfId="2" applyFont="1" applyFill="1" applyBorder="1" applyAlignment="1">
      <alignment horizontal="center" vertical="center"/>
    </xf>
    <xf numFmtId="14" fontId="5" fillId="4" borderId="10" xfId="1" applyNumberFormat="1" applyFont="1" applyFill="1" applyBorder="1" applyAlignment="1">
      <alignment horizontal="left" vertical="center"/>
    </xf>
    <xf numFmtId="43" fontId="14" fillId="4" borderId="10" xfId="1" applyNumberFormat="1" applyFont="1" applyFill="1" applyBorder="1" applyAlignment="1">
      <alignment horizontal="center"/>
    </xf>
    <xf numFmtId="167" fontId="5" fillId="4" borderId="10" xfId="1" applyNumberFormat="1" applyFont="1" applyFill="1" applyBorder="1" applyAlignment="1">
      <alignment horizontal="left" vertical="center"/>
    </xf>
    <xf numFmtId="10" fontId="16" fillId="4" borderId="10" xfId="1" applyNumberFormat="1" applyFont="1" applyFill="1" applyBorder="1" applyAlignment="1">
      <alignment horizontal="center"/>
    </xf>
    <xf numFmtId="43" fontId="19" fillId="4" borderId="10" xfId="1" applyNumberFormat="1" applyFont="1" applyFill="1" applyBorder="1" applyAlignment="1">
      <alignment horizontal="left" vertical="center"/>
    </xf>
    <xf numFmtId="43" fontId="17" fillId="4" borderId="10" xfId="1" applyNumberFormat="1" applyFont="1" applyFill="1" applyBorder="1" applyAlignment="1">
      <alignment horizontal="center"/>
    </xf>
    <xf numFmtId="9" fontId="19" fillId="4" borderId="10" xfId="2" applyFont="1" applyFill="1" applyBorder="1" applyAlignment="1" applyProtection="1">
      <alignment horizontal="left"/>
      <protection locked="0"/>
    </xf>
    <xf numFmtId="43" fontId="19" fillId="4" borderId="10" xfId="1" applyNumberFormat="1" applyFont="1" applyFill="1" applyBorder="1" applyAlignment="1" applyProtection="1">
      <alignment horizontal="left"/>
      <protection locked="0"/>
    </xf>
    <xf numFmtId="43" fontId="17" fillId="4" borderId="10" xfId="1" applyNumberFormat="1" applyFont="1" applyFill="1" applyBorder="1" applyAlignment="1" applyProtection="1">
      <alignment horizontal="center"/>
      <protection locked="0"/>
    </xf>
    <xf numFmtId="167" fontId="5" fillId="4" borderId="10" xfId="1" applyNumberFormat="1" applyFont="1" applyFill="1" applyBorder="1" applyAlignment="1" applyProtection="1">
      <alignment horizontal="left" vertical="center"/>
      <protection locked="0"/>
    </xf>
    <xf numFmtId="49" fontId="5" fillId="4" borderId="11" xfId="1" applyNumberFormat="1" applyFont="1" applyFill="1" applyBorder="1" applyAlignment="1" applyProtection="1">
      <alignment vertical="center" wrapText="1"/>
      <protection locked="0"/>
    </xf>
    <xf numFmtId="49" fontId="5" fillId="4" borderId="12" xfId="1" applyNumberFormat="1" applyFont="1" applyFill="1" applyBorder="1" applyAlignment="1" applyProtection="1">
      <alignment vertical="center" wrapText="1"/>
      <protection locked="0"/>
    </xf>
    <xf numFmtId="49" fontId="5" fillId="0" borderId="12" xfId="1" applyNumberFormat="1" applyFont="1" applyBorder="1" applyAlignment="1" applyProtection="1">
      <alignment vertical="center" wrapText="1"/>
      <protection locked="0"/>
    </xf>
    <xf numFmtId="49" fontId="5" fillId="6" borderId="12" xfId="1" applyNumberFormat="1" applyFont="1" applyFill="1" applyBorder="1" applyAlignment="1" applyProtection="1">
      <alignment horizontal="left" vertical="center" wrapText="1"/>
      <protection locked="0"/>
    </xf>
    <xf numFmtId="49" fontId="5" fillId="6" borderId="12" xfId="1" applyNumberFormat="1" applyFont="1" applyFill="1" applyBorder="1" applyAlignment="1" applyProtection="1">
      <alignment vertical="center" wrapText="1"/>
      <protection locked="0"/>
    </xf>
    <xf numFmtId="0" fontId="5" fillId="6" borderId="10" xfId="1" applyFont="1" applyFill="1" applyBorder="1" applyAlignment="1" applyProtection="1">
      <alignment vertical="center" wrapText="1"/>
      <protection locked="0"/>
    </xf>
    <xf numFmtId="49" fontId="5" fillId="6" borderId="10" xfId="1" applyNumberFormat="1" applyFont="1" applyFill="1" applyBorder="1" applyAlignment="1" applyProtection="1">
      <alignment vertical="center" wrapText="1"/>
      <protection locked="0"/>
    </xf>
    <xf numFmtId="49" fontId="5" fillId="6" borderId="13" xfId="1" applyNumberFormat="1" applyFont="1" applyFill="1" applyBorder="1" applyAlignment="1" applyProtection="1">
      <alignment vertical="center" wrapText="1"/>
      <protection locked="0"/>
    </xf>
    <xf numFmtId="14" fontId="4" fillId="0" borderId="1" xfId="3" applyNumberFormat="1" applyFont="1" applyBorder="1" applyAlignment="1">
      <alignment horizontal="center" vertical="center" wrapText="1"/>
    </xf>
    <xf numFmtId="14" fontId="4" fillId="6" borderId="1" xfId="3" applyNumberFormat="1" applyFont="1" applyFill="1" applyBorder="1" applyAlignment="1">
      <alignment horizontal="center" vertical="center" wrapText="1"/>
    </xf>
    <xf numFmtId="14" fontId="4" fillId="2" borderId="1" xfId="3" applyNumberFormat="1" applyFont="1" applyFill="1" applyBorder="1" applyAlignment="1">
      <alignment horizontal="center" vertical="center" wrapText="1"/>
    </xf>
    <xf numFmtId="14" fontId="5" fillId="6" borderId="1" xfId="3" applyNumberFormat="1" applyFont="1" applyFill="1" applyBorder="1" applyAlignment="1">
      <alignment horizontal="center" vertical="center" wrapText="1"/>
    </xf>
    <xf numFmtId="14" fontId="5" fillId="2" borderId="1" xfId="3" applyNumberFormat="1" applyFont="1" applyFill="1" applyBorder="1" applyAlignment="1">
      <alignment horizontal="center" vertical="center" wrapText="1"/>
    </xf>
    <xf numFmtId="164" fontId="5" fillId="6" borderId="1" xfId="3" applyNumberFormat="1" applyFont="1" applyFill="1" applyBorder="1" applyAlignment="1">
      <alignment horizontal="center" vertical="center" wrapText="1"/>
    </xf>
    <xf numFmtId="14" fontId="5" fillId="0" borderId="1" xfId="3" applyNumberFormat="1" applyFont="1" applyBorder="1" applyAlignment="1">
      <alignment horizontal="center" vertical="center" wrapText="1"/>
    </xf>
    <xf numFmtId="14" fontId="5" fillId="3" borderId="1" xfId="3" applyNumberFormat="1" applyFont="1" applyFill="1" applyBorder="1" applyAlignment="1">
      <alignment horizontal="center" vertical="center" wrapText="1"/>
    </xf>
    <xf numFmtId="14" fontId="4" fillId="3" borderId="1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4FC8061-C077-E542-A646-A3D4931E0B31}"/>
    <cellStyle name="Percent 2" xfId="2" xr:uid="{44D9100F-E029-B64F-A152-E026F0312522}"/>
    <cellStyle name="常规 4 2 4 4 2" xfId="3" xr:uid="{D7518AE6-27EE-BB4C-A5AD-F1D1D8997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0234-28BA-8A45-9C5A-600A382CA2EC}">
  <dimension ref="A1:DU34"/>
  <sheetViews>
    <sheetView tabSelected="1" zoomScale="115" workbookViewId="0">
      <pane xSplit="6" ySplit="5" topLeftCell="W6" activePane="bottomRight" state="frozen"/>
      <selection pane="topRight"/>
      <selection pane="bottomLeft"/>
      <selection pane="bottomRight" activeCell="F5" sqref="F5"/>
    </sheetView>
  </sheetViews>
  <sheetFormatPr baseColWidth="10" defaultColWidth="9" defaultRowHeight="15" outlineLevelCol="1"/>
  <cols>
    <col min="1" max="1" width="8.83203125" style="1" customWidth="1" outlineLevel="1"/>
    <col min="2" max="2" width="6.1640625" style="1" customWidth="1" outlineLevel="1"/>
    <col min="3" max="3" width="16.1640625" style="1" customWidth="1" outlineLevel="1"/>
    <col min="4" max="4" width="6.1640625" style="1" customWidth="1" outlineLevel="1"/>
    <col min="5" max="5" width="33.5" style="1" customWidth="1"/>
    <col min="6" max="6" width="23.6640625" style="1" customWidth="1"/>
    <col min="7" max="7" width="46" style="1" customWidth="1"/>
    <col min="8" max="8" width="41.5" style="1" customWidth="1"/>
    <col min="9" max="9" width="19.83203125" style="1" customWidth="1"/>
    <col min="10" max="10" width="27.83203125" style="8" customWidth="1"/>
    <col min="11" max="11" width="39.6640625" style="8" customWidth="1"/>
    <col min="12" max="12" width="4" style="1" customWidth="1"/>
    <col min="13" max="13" width="2.6640625" style="5" customWidth="1" outlineLevel="1"/>
    <col min="14" max="15" width="7.6640625" style="5" customWidth="1" outlineLevel="1"/>
    <col min="16" max="16" width="12.1640625" style="5" customWidth="1" outlineLevel="1"/>
    <col min="17" max="17" width="16.6640625" style="5" customWidth="1" outlineLevel="1"/>
    <col min="18" max="18" width="14.5" style="5" customWidth="1" outlineLevel="1"/>
    <col min="19" max="19" width="14.5" style="7" customWidth="1" outlineLevel="1"/>
    <col min="20" max="20" width="15.83203125" style="5" customWidth="1" outlineLevel="1"/>
    <col min="21" max="21" width="13.5" style="5" customWidth="1" outlineLevel="1"/>
    <col min="22" max="22" width="10.5" style="6" customWidth="1" outlineLevel="1"/>
    <col min="23" max="23" width="13.5" style="5" customWidth="1" outlineLevel="1"/>
    <col min="24" max="24" width="14.6640625" style="5" customWidth="1" outlineLevel="1"/>
    <col min="25" max="25" width="13.5" style="5" customWidth="1" outlineLevel="1"/>
    <col min="26" max="28" width="9" style="1" customWidth="1"/>
    <col min="29" max="29" width="9" style="4" customWidth="1"/>
    <col min="30" max="32" width="9" style="1" customWidth="1"/>
    <col min="33" max="33" width="9" style="2" customWidth="1"/>
    <col min="34" max="36" width="9" style="1" customWidth="1"/>
    <col min="37" max="37" width="9" style="2" customWidth="1"/>
    <col min="38" max="40" width="9" style="1" customWidth="1"/>
    <col min="41" max="41" width="8.83203125" style="2" customWidth="1"/>
    <col min="42" max="44" width="9" style="1" customWidth="1"/>
    <col min="45" max="45" width="9" style="2" customWidth="1"/>
    <col min="46" max="48" width="9" style="1" customWidth="1"/>
    <col min="49" max="49" width="9" style="2" customWidth="1"/>
    <col min="50" max="52" width="9" style="1" customWidth="1"/>
    <col min="53" max="53" width="9" style="2" customWidth="1"/>
    <col min="54" max="56" width="9" style="1" customWidth="1"/>
    <col min="57" max="57" width="9" style="2" customWidth="1"/>
    <col min="58" max="60" width="9" style="1" customWidth="1"/>
    <col min="61" max="61" width="9" style="2" customWidth="1"/>
    <col min="62" max="63" width="8.83203125" style="1" customWidth="1"/>
    <col min="64" max="64" width="9" style="1" customWidth="1"/>
    <col min="65" max="65" width="9" style="2" customWidth="1"/>
    <col min="66" max="68" width="9" style="1" customWidth="1"/>
    <col min="69" max="69" width="9" style="2" customWidth="1"/>
    <col min="70" max="71" width="9.5" style="1" customWidth="1"/>
    <col min="72" max="72" width="9" style="1" customWidth="1"/>
    <col min="73" max="73" width="9.5" style="2" customWidth="1"/>
    <col min="74" max="74" width="9" style="3" customWidth="1"/>
    <col min="75" max="77" width="9" style="1" customWidth="1"/>
    <col min="78" max="78" width="9" style="2" customWidth="1"/>
    <col min="79" max="81" width="9" style="1" customWidth="1"/>
    <col min="82" max="82" width="9" style="2" customWidth="1"/>
    <col min="83" max="83" width="11.1640625" style="1" customWidth="1"/>
    <col min="84" max="85" width="9" style="1" customWidth="1"/>
    <col min="86" max="87" width="9" style="2" customWidth="1"/>
    <col min="88" max="90" width="9" style="1" customWidth="1"/>
    <col min="91" max="91" width="9" style="2" customWidth="1"/>
    <col min="92" max="94" width="9" style="1" customWidth="1"/>
    <col min="95" max="95" width="9" style="2" customWidth="1"/>
    <col min="96" max="96" width="9" style="1" customWidth="1"/>
    <col min="97" max="97" width="20.5" style="1" customWidth="1"/>
    <col min="98" max="124" width="9" style="1" hidden="1" customWidth="1"/>
    <col min="125" max="16301" width="9" style="1" customWidth="1"/>
    <col min="16302" max="16384" width="9" style="1"/>
  </cols>
  <sheetData>
    <row r="1" spans="1:125" s="60" customFormat="1" ht="42" customHeight="1">
      <c r="A1" s="126"/>
      <c r="B1" s="125"/>
      <c r="C1" s="125"/>
      <c r="D1" s="124"/>
      <c r="E1" s="123"/>
      <c r="F1" s="123"/>
      <c r="G1" s="123"/>
      <c r="H1" s="123"/>
      <c r="I1" s="123" t="s">
        <v>178</v>
      </c>
      <c r="J1" s="122"/>
      <c r="K1" s="122"/>
      <c r="L1" s="121"/>
      <c r="M1" s="120"/>
      <c r="N1" s="120"/>
      <c r="O1" s="119"/>
      <c r="P1" s="118"/>
      <c r="Q1" s="117" t="s">
        <v>177</v>
      </c>
      <c r="R1" s="116">
        <v>1000</v>
      </c>
      <c r="S1" s="115"/>
      <c r="T1" s="114" t="s">
        <v>176</v>
      </c>
      <c r="U1" s="113"/>
      <c r="V1" s="112" t="s">
        <v>175</v>
      </c>
      <c r="W1" s="111"/>
      <c r="X1" s="110" t="s">
        <v>174</v>
      </c>
      <c r="Y1" s="109">
        <f ca="1">TODAY()</f>
        <v>46288</v>
      </c>
      <c r="Z1" s="107"/>
      <c r="AA1" s="107"/>
      <c r="AB1" s="106"/>
      <c r="AC1" s="108"/>
      <c r="AD1" s="103"/>
      <c r="AE1" s="103"/>
      <c r="AF1" s="106"/>
      <c r="AG1" s="101"/>
      <c r="AH1" s="107"/>
      <c r="AI1" s="107"/>
      <c r="AJ1" s="106"/>
      <c r="AK1" s="101"/>
      <c r="AL1" s="103"/>
      <c r="AM1" s="103"/>
      <c r="AN1" s="106"/>
      <c r="AO1" s="101"/>
      <c r="AP1" s="103"/>
      <c r="AQ1" s="103"/>
      <c r="AR1" s="106"/>
      <c r="AS1" s="101"/>
      <c r="AT1" s="103"/>
      <c r="AU1" s="103"/>
      <c r="AV1" s="106"/>
      <c r="AW1" s="101"/>
      <c r="AX1" s="103"/>
      <c r="AY1" s="103"/>
      <c r="AZ1" s="102"/>
      <c r="BA1" s="101"/>
      <c r="BB1" s="103"/>
      <c r="BC1" s="103"/>
      <c r="BD1" s="102"/>
      <c r="BE1" s="101"/>
      <c r="BF1" s="105"/>
      <c r="BG1" s="105"/>
      <c r="BH1" s="102"/>
      <c r="BI1" s="101"/>
      <c r="BJ1" s="102"/>
      <c r="BK1" s="102"/>
      <c r="BL1" s="102"/>
      <c r="BM1" s="101"/>
      <c r="BN1" s="103"/>
      <c r="BO1" s="103"/>
      <c r="BP1" s="102"/>
      <c r="BQ1" s="101"/>
      <c r="BR1" s="105"/>
      <c r="BS1" s="105"/>
      <c r="BT1" s="102"/>
      <c r="BU1" s="101"/>
      <c r="BV1" s="104"/>
      <c r="BW1" s="103"/>
      <c r="BX1" s="103"/>
      <c r="BY1" s="102"/>
      <c r="BZ1" s="101"/>
      <c r="CA1" s="102"/>
      <c r="CB1" s="102"/>
      <c r="CC1" s="102"/>
      <c r="CD1" s="101"/>
      <c r="CE1" s="102"/>
      <c r="CF1" s="102"/>
      <c r="CG1" s="102"/>
      <c r="CH1" s="101"/>
      <c r="CI1" s="101"/>
      <c r="CJ1" s="103"/>
      <c r="CK1" s="103"/>
      <c r="CL1" s="103"/>
      <c r="CM1" s="101"/>
      <c r="CN1" s="103"/>
      <c r="CO1" s="103"/>
      <c r="CP1" s="102"/>
      <c r="CQ1" s="101"/>
      <c r="CR1" s="100"/>
      <c r="CS1" s="97"/>
      <c r="CT1" s="96">
        <v>45380</v>
      </c>
      <c r="CU1" s="96">
        <v>45408</v>
      </c>
      <c r="CV1" s="99">
        <v>45443</v>
      </c>
      <c r="CW1" s="96">
        <v>45471</v>
      </c>
      <c r="CX1" s="96">
        <v>45499</v>
      </c>
      <c r="CY1" s="98">
        <v>45534</v>
      </c>
      <c r="CZ1" s="96">
        <v>45562</v>
      </c>
      <c r="DA1" s="96">
        <v>45590</v>
      </c>
      <c r="DB1" s="98">
        <v>45625</v>
      </c>
      <c r="DC1" s="96">
        <v>45653</v>
      </c>
      <c r="DD1" s="96">
        <v>45688</v>
      </c>
      <c r="DE1" s="98">
        <v>45716</v>
      </c>
      <c r="DF1" s="96">
        <v>45744</v>
      </c>
      <c r="DG1" s="96">
        <v>45772</v>
      </c>
      <c r="DH1" s="98">
        <v>45807</v>
      </c>
      <c r="DI1" s="96">
        <v>45835</v>
      </c>
      <c r="DJ1" s="96">
        <v>45863</v>
      </c>
      <c r="DK1" s="98">
        <v>45898</v>
      </c>
      <c r="DL1" s="96">
        <v>45926</v>
      </c>
      <c r="DM1" s="96">
        <v>45961</v>
      </c>
      <c r="DN1" s="98">
        <v>45989</v>
      </c>
      <c r="DO1" s="96">
        <v>46017</v>
      </c>
      <c r="DP1" s="96">
        <v>46052</v>
      </c>
      <c r="DQ1" s="98">
        <v>46080</v>
      </c>
      <c r="DR1" s="96">
        <v>46108</v>
      </c>
      <c r="DS1" s="96">
        <v>46136</v>
      </c>
      <c r="DT1" s="96">
        <v>46152</v>
      </c>
    </row>
    <row r="2" spans="1:125" s="60" customFormat="1" ht="31.75" customHeight="1">
      <c r="A2" s="81"/>
      <c r="B2" s="80"/>
      <c r="C2" s="80"/>
      <c r="D2" s="79"/>
      <c r="E2" s="94"/>
      <c r="F2" s="94"/>
      <c r="G2" s="95"/>
      <c r="H2" s="94"/>
      <c r="I2" s="94"/>
      <c r="J2" s="93"/>
      <c r="K2" s="93"/>
      <c r="L2" s="92"/>
      <c r="M2" s="88"/>
      <c r="N2" s="88"/>
      <c r="O2" s="91"/>
      <c r="P2" s="73" t="s">
        <v>173</v>
      </c>
      <c r="Q2" s="72">
        <v>0</v>
      </c>
      <c r="R2" s="71">
        <v>0</v>
      </c>
      <c r="S2" s="70"/>
      <c r="T2" s="66">
        <f ca="1">SUMPRODUCT($N$6:$N$152,T6:T152)</f>
        <v>0</v>
      </c>
      <c r="U2" s="68">
        <f ca="1">SUM(U6:U30)</f>
        <v>0</v>
      </c>
      <c r="V2" s="66">
        <f ca="1">SUMPRODUCT($N$6:$N$152,V6:V152)</f>
        <v>0</v>
      </c>
      <c r="W2" s="67">
        <f ca="1">SUM(W6:W30)</f>
        <v>0</v>
      </c>
      <c r="X2" s="66">
        <f>SUMPRODUCT($N$6:$N$152,X6:X152)</f>
        <v>0</v>
      </c>
      <c r="Y2" s="65">
        <f>SUM(Y6:Y30)</f>
        <v>0</v>
      </c>
      <c r="Z2" s="133" t="s">
        <v>172</v>
      </c>
      <c r="AA2" s="133"/>
      <c r="AB2" s="130"/>
      <c r="AC2" s="134"/>
      <c r="AD2" s="133"/>
      <c r="AE2" s="133"/>
      <c r="AF2" s="130"/>
      <c r="AG2" s="131"/>
      <c r="AH2" s="133" t="s">
        <v>171</v>
      </c>
      <c r="AI2" s="133"/>
      <c r="AJ2" s="130"/>
      <c r="AK2" s="131"/>
      <c r="AL2" s="133"/>
      <c r="AM2" s="133"/>
      <c r="AN2" s="130"/>
      <c r="AO2" s="131"/>
      <c r="AP2" s="133"/>
      <c r="AQ2" s="133"/>
      <c r="AR2" s="130"/>
      <c r="AS2" s="131"/>
      <c r="AT2" s="133"/>
      <c r="AU2" s="133"/>
      <c r="AV2" s="130"/>
      <c r="AW2" s="131"/>
      <c r="AX2" s="133"/>
      <c r="AY2" s="133"/>
      <c r="AZ2" s="130"/>
      <c r="BA2" s="131"/>
      <c r="BB2" s="133"/>
      <c r="BC2" s="133"/>
      <c r="BD2" s="130"/>
      <c r="BE2" s="131"/>
      <c r="BF2" s="130" t="s">
        <v>170</v>
      </c>
      <c r="BG2" s="130"/>
      <c r="BH2" s="130"/>
      <c r="BI2" s="131"/>
      <c r="BJ2" s="130"/>
      <c r="BK2" s="130"/>
      <c r="BL2" s="130"/>
      <c r="BM2" s="131"/>
      <c r="BN2" s="133"/>
      <c r="BO2" s="133"/>
      <c r="BP2" s="130"/>
      <c r="BQ2" s="131"/>
      <c r="BR2" s="130" t="s">
        <v>169</v>
      </c>
      <c r="BS2" s="130"/>
      <c r="BT2" s="130"/>
      <c r="BU2" s="131"/>
      <c r="BV2" s="132"/>
      <c r="BW2" s="133"/>
      <c r="BX2" s="133"/>
      <c r="BY2" s="130"/>
      <c r="BZ2" s="131"/>
      <c r="CA2" s="130"/>
      <c r="CB2" s="130"/>
      <c r="CC2" s="130"/>
      <c r="CD2" s="131"/>
      <c r="CE2" s="130"/>
      <c r="CF2" s="130"/>
      <c r="CG2" s="130"/>
      <c r="CH2" s="131"/>
      <c r="CI2" s="131"/>
      <c r="CJ2" s="133" t="s">
        <v>168</v>
      </c>
      <c r="CK2" s="133"/>
      <c r="CL2" s="133"/>
      <c r="CM2" s="131"/>
      <c r="CN2" s="133" t="s">
        <v>167</v>
      </c>
      <c r="CO2" s="133"/>
      <c r="CP2" s="130"/>
      <c r="CQ2" s="131"/>
      <c r="CR2" s="64"/>
      <c r="CS2" s="83" t="s">
        <v>166</v>
      </c>
      <c r="CT2" s="84" cm="1">
        <f t="array" ref="CT2">SUMPRODUCT($N$6:$N$30,CT6:CT30)</f>
        <v>0</v>
      </c>
      <c r="CU2" s="84" cm="1">
        <f t="array" ref="CU2">SUMPRODUCT($N$6:$N$30,CU6:CU30)</f>
        <v>0</v>
      </c>
      <c r="CV2" s="84" cm="1">
        <f t="array" ref="CV2">SUMPRODUCT($N$6:$N$30,CV6:CV30)</f>
        <v>0</v>
      </c>
      <c r="CW2" s="84" cm="1">
        <f t="array" ref="CW2">SUMPRODUCT($N$6:$N$30,CW6:CW30)</f>
        <v>0</v>
      </c>
      <c r="CX2" s="84" cm="1">
        <f t="array" ref="CX2">SUMPRODUCT($N$6:$N$30,CX6:CX30)</f>
        <v>0</v>
      </c>
      <c r="CY2" s="84" cm="1">
        <f t="array" ref="CY2">SUMPRODUCT($N$6:$N$30,CY6:CY30)</f>
        <v>0</v>
      </c>
      <c r="CZ2" s="84" cm="1">
        <f t="array" ref="CZ2">SUMPRODUCT($N$6:$N$30,CZ6:CZ30)</f>
        <v>0</v>
      </c>
      <c r="DA2" s="84" cm="1">
        <f t="array" ref="DA2">SUMPRODUCT($N$6:$N$30,DA6:DA30)</f>
        <v>0</v>
      </c>
      <c r="DB2" s="84" cm="1">
        <f t="array" ref="DB2">SUMPRODUCT($N$6:$N$30,DB6:DB30)</f>
        <v>0</v>
      </c>
      <c r="DC2" s="84" cm="1">
        <f t="array" ref="DC2">SUMPRODUCT($N$6:$N$30,DC6:DC30)</f>
        <v>0</v>
      </c>
      <c r="DD2" s="84" cm="1">
        <f t="array" ref="DD2">SUMPRODUCT($N$6:$N$30,DD6:DD30)</f>
        <v>0</v>
      </c>
      <c r="DE2" s="84" cm="1">
        <f t="array" ref="DE2">SUMPRODUCT($N$6:$N$30,DE6:DE30)</f>
        <v>0</v>
      </c>
      <c r="DF2" s="84" cm="1">
        <f t="array" ref="DF2">SUMPRODUCT($N$6:$N$30,DF6:DF30)</f>
        <v>0</v>
      </c>
      <c r="DG2" s="84" cm="1">
        <f t="array" ref="DG2">SUMPRODUCT($N$6:$N$30,DG6:DG30)</f>
        <v>0</v>
      </c>
      <c r="DH2" s="84" cm="1">
        <f t="array" ref="DH2">SUMPRODUCT($N$6:$N$30,DH6:DH30)</f>
        <v>0</v>
      </c>
      <c r="DI2" s="84" cm="1">
        <f t="array" ref="DI2">SUMPRODUCT($N$6:$N$30,DI6:DI30)</f>
        <v>0</v>
      </c>
      <c r="DJ2" s="84" cm="1">
        <f t="array" ref="DJ2">SUMPRODUCT($N$6:$N$30,DJ6:DJ30)</f>
        <v>0</v>
      </c>
      <c r="DK2" s="84" cm="1">
        <f t="array" ref="DK2">SUMPRODUCT($N$6:$N$30,DK6:DK30)</f>
        <v>0</v>
      </c>
      <c r="DL2" s="84" cm="1">
        <f t="array" ref="DL2">SUMPRODUCT($N$6:$N$30,DL6:DL30)</f>
        <v>0</v>
      </c>
      <c r="DM2" s="84" cm="1">
        <f t="array" ref="DM2">SUMPRODUCT($N$6:$N$30,DM6:DM30)</f>
        <v>0</v>
      </c>
      <c r="DN2" s="84" cm="1">
        <f t="array" ref="DN2">SUMPRODUCT($N$6:$N$30,DN6:DN30)</f>
        <v>0</v>
      </c>
      <c r="DO2" s="84" cm="1">
        <f t="array" ref="DO2">SUMPRODUCT($N$6:$N$30,DO6:DO30)</f>
        <v>0</v>
      </c>
      <c r="DP2" s="84" cm="1">
        <f t="array" ref="DP2">SUMPRODUCT($N$6:$N$30,DP6:DP30)</f>
        <v>0</v>
      </c>
      <c r="DQ2" s="84" cm="1">
        <f t="array" ref="DQ2">SUMPRODUCT($N$6:$N$30,DQ6:DQ30)</f>
        <v>0</v>
      </c>
      <c r="DR2" s="84" cm="1">
        <f t="array" ref="DR2">SUMPRODUCT($N$6:$N$30,DR6:DR30)</f>
        <v>0</v>
      </c>
      <c r="DS2" s="84" cm="1">
        <f t="array" ref="DS2">SUMPRODUCT($N$6:$N$30,DS6:DS30)</f>
        <v>0</v>
      </c>
      <c r="DT2" s="84" cm="1">
        <f t="array" ref="DT2">SUMPRODUCT($N$6:$N$30,DT6:DT30)</f>
        <v>0</v>
      </c>
      <c r="DU2" s="82"/>
    </row>
    <row r="3" spans="1:125" s="60" customFormat="1" ht="31.75" customHeight="1">
      <c r="A3" s="81" t="s">
        <v>165</v>
      </c>
      <c r="B3" s="80" t="s">
        <v>164</v>
      </c>
      <c r="C3" s="81" t="s">
        <v>163</v>
      </c>
      <c r="D3" s="80" t="s">
        <v>162</v>
      </c>
      <c r="E3" s="81" t="s">
        <v>161</v>
      </c>
      <c r="F3" s="80" t="s">
        <v>160</v>
      </c>
      <c r="G3" s="81" t="s">
        <v>159</v>
      </c>
      <c r="H3" s="80" t="s">
        <v>158</v>
      </c>
      <c r="I3" s="81" t="s">
        <v>157</v>
      </c>
      <c r="J3" s="80" t="s">
        <v>156</v>
      </c>
      <c r="K3" s="81" t="s">
        <v>155</v>
      </c>
      <c r="L3" s="80" t="s">
        <v>154</v>
      </c>
      <c r="M3" s="88" t="s">
        <v>153</v>
      </c>
      <c r="N3" s="88" t="s">
        <v>152</v>
      </c>
      <c r="O3" s="88" t="s">
        <v>151</v>
      </c>
      <c r="P3" s="88" t="s">
        <v>150</v>
      </c>
      <c r="Q3" s="88" t="s">
        <v>149</v>
      </c>
      <c r="R3" s="88" t="s">
        <v>148</v>
      </c>
      <c r="S3" s="90"/>
      <c r="T3" s="88" t="s">
        <v>147</v>
      </c>
      <c r="U3" s="88" t="s">
        <v>146</v>
      </c>
      <c r="V3" s="89" t="s">
        <v>145</v>
      </c>
      <c r="W3" s="88" t="s">
        <v>144</v>
      </c>
      <c r="X3" s="88" t="s">
        <v>143</v>
      </c>
      <c r="Y3" s="88" t="s">
        <v>142</v>
      </c>
      <c r="Z3" s="86">
        <v>13</v>
      </c>
      <c r="AA3" s="86">
        <v>14</v>
      </c>
      <c r="AB3" s="86">
        <v>15</v>
      </c>
      <c r="AC3" s="86">
        <v>16</v>
      </c>
      <c r="AD3" s="86">
        <v>17</v>
      </c>
      <c r="AE3" s="86">
        <v>18</v>
      </c>
      <c r="AF3" s="86">
        <v>19</v>
      </c>
      <c r="AG3" s="86">
        <v>20</v>
      </c>
      <c r="AH3" s="86">
        <v>21</v>
      </c>
      <c r="AI3" s="86">
        <v>22</v>
      </c>
      <c r="AJ3" s="86">
        <v>23</v>
      </c>
      <c r="AK3" s="86">
        <v>24</v>
      </c>
      <c r="AL3" s="86">
        <v>25</v>
      </c>
      <c r="AM3" s="86">
        <v>26</v>
      </c>
      <c r="AN3" s="86">
        <v>27</v>
      </c>
      <c r="AO3" s="86">
        <v>28</v>
      </c>
      <c r="AP3" s="86">
        <v>29</v>
      </c>
      <c r="AQ3" s="86">
        <v>30</v>
      </c>
      <c r="AR3" s="86">
        <v>31</v>
      </c>
      <c r="AS3" s="86">
        <v>32</v>
      </c>
      <c r="AT3" s="86">
        <v>33</v>
      </c>
      <c r="AU3" s="86">
        <v>34</v>
      </c>
      <c r="AV3" s="86">
        <v>35</v>
      </c>
      <c r="AW3" s="86">
        <v>36</v>
      </c>
      <c r="AX3" s="86">
        <v>37</v>
      </c>
      <c r="AY3" s="86">
        <v>38</v>
      </c>
      <c r="AZ3" s="86">
        <v>39</v>
      </c>
      <c r="BA3" s="86">
        <v>40</v>
      </c>
      <c r="BB3" s="86">
        <v>41</v>
      </c>
      <c r="BC3" s="86">
        <v>42</v>
      </c>
      <c r="BD3" s="86">
        <v>43</v>
      </c>
      <c r="BE3" s="86">
        <v>44</v>
      </c>
      <c r="BF3" s="86">
        <v>45</v>
      </c>
      <c r="BG3" s="86">
        <v>46</v>
      </c>
      <c r="BH3" s="86">
        <v>47</v>
      </c>
      <c r="BI3" s="86">
        <v>48</v>
      </c>
      <c r="BJ3" s="86">
        <v>49</v>
      </c>
      <c r="BK3" s="86">
        <v>50</v>
      </c>
      <c r="BL3" s="86">
        <v>51</v>
      </c>
      <c r="BM3" s="86">
        <v>52</v>
      </c>
      <c r="BN3" s="86">
        <v>53</v>
      </c>
      <c r="BO3" s="86">
        <v>54</v>
      </c>
      <c r="BP3" s="86">
        <v>55</v>
      </c>
      <c r="BQ3" s="86">
        <v>56</v>
      </c>
      <c r="BR3" s="86">
        <v>57</v>
      </c>
      <c r="BS3" s="86">
        <v>58</v>
      </c>
      <c r="BT3" s="86">
        <v>59</v>
      </c>
      <c r="BU3" s="86">
        <v>60</v>
      </c>
      <c r="BV3" s="86">
        <v>61</v>
      </c>
      <c r="BW3" s="86">
        <v>62</v>
      </c>
      <c r="BX3" s="86">
        <v>63</v>
      </c>
      <c r="BY3" s="86">
        <v>64</v>
      </c>
      <c r="BZ3" s="86">
        <v>65</v>
      </c>
      <c r="CA3" s="86">
        <v>66</v>
      </c>
      <c r="CB3" s="86">
        <v>67</v>
      </c>
      <c r="CC3" s="86">
        <v>68</v>
      </c>
      <c r="CD3" s="86">
        <v>69</v>
      </c>
      <c r="CE3" s="87" t="s">
        <v>141</v>
      </c>
      <c r="CF3" s="87" t="s">
        <v>140</v>
      </c>
      <c r="CG3" s="87" t="s">
        <v>139</v>
      </c>
      <c r="CH3" s="85" t="s">
        <v>138</v>
      </c>
      <c r="CI3" s="85" t="s">
        <v>137</v>
      </c>
      <c r="CJ3" s="86" t="s">
        <v>136</v>
      </c>
      <c r="CK3" s="86" t="s">
        <v>135</v>
      </c>
      <c r="CL3" s="86" t="s">
        <v>134</v>
      </c>
      <c r="CM3" s="85" t="s">
        <v>133</v>
      </c>
      <c r="CN3" s="133"/>
      <c r="CO3" s="133"/>
      <c r="CP3" s="130"/>
      <c r="CQ3" s="131"/>
      <c r="CR3" s="64"/>
      <c r="CS3" s="83" t="s">
        <v>132</v>
      </c>
      <c r="CT3" s="84">
        <f>CT2</f>
        <v>0</v>
      </c>
      <c r="CU3" s="84">
        <f t="shared" ref="CU3:DS3" si="0">CU2-CT2</f>
        <v>0</v>
      </c>
      <c r="CV3" s="84">
        <f t="shared" si="0"/>
        <v>0</v>
      </c>
      <c r="CW3" s="84">
        <f t="shared" si="0"/>
        <v>0</v>
      </c>
      <c r="CX3" s="84">
        <f t="shared" si="0"/>
        <v>0</v>
      </c>
      <c r="CY3" s="84">
        <f t="shared" si="0"/>
        <v>0</v>
      </c>
      <c r="CZ3" s="84">
        <f t="shared" si="0"/>
        <v>0</v>
      </c>
      <c r="DA3" s="84">
        <f t="shared" si="0"/>
        <v>0</v>
      </c>
      <c r="DB3" s="84">
        <f t="shared" si="0"/>
        <v>0</v>
      </c>
      <c r="DC3" s="84">
        <f t="shared" si="0"/>
        <v>0</v>
      </c>
      <c r="DD3" s="84">
        <f t="shared" si="0"/>
        <v>0</v>
      </c>
      <c r="DE3" s="84">
        <f t="shared" si="0"/>
        <v>0</v>
      </c>
      <c r="DF3" s="84">
        <f t="shared" si="0"/>
        <v>0</v>
      </c>
      <c r="DG3" s="84">
        <f t="shared" si="0"/>
        <v>0</v>
      </c>
      <c r="DH3" s="84">
        <f t="shared" si="0"/>
        <v>0</v>
      </c>
      <c r="DI3" s="84">
        <f t="shared" si="0"/>
        <v>0</v>
      </c>
      <c r="DJ3" s="84">
        <f t="shared" si="0"/>
        <v>0</v>
      </c>
      <c r="DK3" s="84">
        <f t="shared" si="0"/>
        <v>0</v>
      </c>
      <c r="DL3" s="84">
        <f t="shared" si="0"/>
        <v>0</v>
      </c>
      <c r="DM3" s="84">
        <f t="shared" si="0"/>
        <v>0</v>
      </c>
      <c r="DN3" s="84">
        <f t="shared" si="0"/>
        <v>0</v>
      </c>
      <c r="DO3" s="84">
        <f t="shared" si="0"/>
        <v>0</v>
      </c>
      <c r="DP3" s="84">
        <f t="shared" si="0"/>
        <v>0</v>
      </c>
      <c r="DQ3" s="84">
        <f t="shared" si="0"/>
        <v>0</v>
      </c>
      <c r="DR3" s="84">
        <f t="shared" si="0"/>
        <v>0</v>
      </c>
      <c r="DS3" s="84">
        <f t="shared" si="0"/>
        <v>0</v>
      </c>
      <c r="DT3" s="84"/>
      <c r="DU3" s="82"/>
    </row>
    <row r="4" spans="1:125" s="60" customFormat="1" ht="31.75" customHeight="1">
      <c r="A4" s="81"/>
      <c r="B4" s="80"/>
      <c r="C4" s="80"/>
      <c r="D4" s="79"/>
      <c r="E4" s="78"/>
      <c r="F4" s="78"/>
      <c r="G4" s="78"/>
      <c r="H4" s="78"/>
      <c r="I4" s="78"/>
      <c r="J4" s="77"/>
      <c r="K4" s="77"/>
      <c r="L4" s="76"/>
      <c r="M4" s="75"/>
      <c r="N4" s="75"/>
      <c r="O4" s="74"/>
      <c r="P4" s="73"/>
      <c r="Q4" s="72"/>
      <c r="R4" s="71"/>
      <c r="S4" s="70"/>
      <c r="T4" s="69"/>
      <c r="U4" s="68"/>
      <c r="V4" s="66"/>
      <c r="W4" s="67"/>
      <c r="X4" s="66"/>
      <c r="Y4" s="65"/>
      <c r="Z4" s="127" t="s">
        <v>131</v>
      </c>
      <c r="AA4" s="127"/>
      <c r="AB4" s="128"/>
      <c r="AC4" s="135"/>
      <c r="AD4" s="127" t="s">
        <v>130</v>
      </c>
      <c r="AE4" s="127"/>
      <c r="AF4" s="128"/>
      <c r="AG4" s="129"/>
      <c r="AH4" s="127" t="s">
        <v>129</v>
      </c>
      <c r="AI4" s="127"/>
      <c r="AJ4" s="128"/>
      <c r="AK4" s="129"/>
      <c r="AL4" s="127" t="s">
        <v>128</v>
      </c>
      <c r="AM4" s="127"/>
      <c r="AN4" s="128"/>
      <c r="AO4" s="129"/>
      <c r="AP4" s="127" t="s">
        <v>127</v>
      </c>
      <c r="AQ4" s="127"/>
      <c r="AR4" s="128"/>
      <c r="AS4" s="129"/>
      <c r="AT4" s="127" t="s">
        <v>126</v>
      </c>
      <c r="AU4" s="127"/>
      <c r="AV4" s="128"/>
      <c r="AW4" s="129"/>
      <c r="AX4" s="127" t="s">
        <v>125</v>
      </c>
      <c r="AY4" s="127"/>
      <c r="AZ4" s="128"/>
      <c r="BA4" s="129"/>
      <c r="BB4" s="127" t="s">
        <v>124</v>
      </c>
      <c r="BC4" s="127"/>
      <c r="BD4" s="127"/>
      <c r="BE4" s="129"/>
      <c r="BF4" s="128" t="s">
        <v>123</v>
      </c>
      <c r="BG4" s="128"/>
      <c r="BH4" s="128"/>
      <c r="BI4" s="129"/>
      <c r="BJ4" s="128" t="s">
        <v>122</v>
      </c>
      <c r="BK4" s="128"/>
      <c r="BL4" s="128"/>
      <c r="BM4" s="129"/>
      <c r="BN4" s="127" t="s">
        <v>121</v>
      </c>
      <c r="BO4" s="127"/>
      <c r="BP4" s="128"/>
      <c r="BQ4" s="129"/>
      <c r="BR4" s="128" t="s">
        <v>120</v>
      </c>
      <c r="BS4" s="128"/>
      <c r="BT4" s="128"/>
      <c r="BU4" s="129"/>
      <c r="BV4" s="44" t="s">
        <v>119</v>
      </c>
      <c r="BW4" s="127" t="s">
        <v>118</v>
      </c>
      <c r="BX4" s="127"/>
      <c r="BY4" s="128"/>
      <c r="BZ4" s="129"/>
      <c r="CA4" s="128" t="s">
        <v>117</v>
      </c>
      <c r="CB4" s="128"/>
      <c r="CC4" s="128"/>
      <c r="CD4" s="129"/>
      <c r="CE4" s="128" t="s">
        <v>116</v>
      </c>
      <c r="CF4" s="128"/>
      <c r="CG4" s="128"/>
      <c r="CH4" s="129"/>
      <c r="CI4" s="129"/>
      <c r="CJ4" s="127" t="s">
        <v>115</v>
      </c>
      <c r="CK4" s="127"/>
      <c r="CL4" s="127"/>
      <c r="CM4" s="129"/>
      <c r="CN4" s="133"/>
      <c r="CO4" s="133"/>
      <c r="CP4" s="130"/>
      <c r="CQ4" s="131"/>
      <c r="CR4" s="64"/>
      <c r="CS4" s="63" t="s">
        <v>114</v>
      </c>
      <c r="CT4" s="62">
        <v>0</v>
      </c>
      <c r="CU4" s="61">
        <v>0</v>
      </c>
      <c r="CV4" s="61">
        <v>0</v>
      </c>
      <c r="CW4" s="61">
        <v>8.0000000000000004E-4</v>
      </c>
      <c r="CX4" s="61">
        <v>7.0000000000000001E-3</v>
      </c>
      <c r="CY4" s="61">
        <v>1.2699999999999999E-2</v>
      </c>
      <c r="CZ4" s="61">
        <v>3.2000000000000001E-2</v>
      </c>
      <c r="DA4" s="61">
        <v>4.4999999999999998E-2</v>
      </c>
      <c r="DB4" s="61">
        <v>6.6042414999568297E-2</v>
      </c>
      <c r="DC4" s="61">
        <v>8.5000000000000006E-2</v>
      </c>
      <c r="DD4" s="61">
        <v>0.1072</v>
      </c>
      <c r="DE4" s="61">
        <v>0.1401</v>
      </c>
      <c r="DF4" s="61">
        <v>0.16850000000000001</v>
      </c>
      <c r="DG4" s="61">
        <v>0.23860000000000001</v>
      </c>
      <c r="DH4" s="61">
        <v>0.31080000000000002</v>
      </c>
      <c r="DI4" s="61">
        <v>0.35920000000000002</v>
      </c>
      <c r="DJ4" s="61">
        <v>0.44390000000000002</v>
      </c>
      <c r="DK4" s="61">
        <v>0.50670000000000004</v>
      </c>
      <c r="DL4" s="61">
        <v>0.56279999999999997</v>
      </c>
      <c r="DM4" s="61">
        <v>0.63361284516890004</v>
      </c>
      <c r="DN4" s="61">
        <v>0.68927527064487304</v>
      </c>
      <c r="DO4" s="61">
        <v>0.71220000000000006</v>
      </c>
      <c r="DP4" s="61">
        <v>0.76100000000000001</v>
      </c>
      <c r="DQ4" s="61">
        <v>0.79410000000000003</v>
      </c>
      <c r="DR4" s="61">
        <v>0.813633142156995</v>
      </c>
      <c r="DS4" s="61">
        <v>0.86890000000000001</v>
      </c>
      <c r="DT4" s="61">
        <v>0.88229999999999997</v>
      </c>
      <c r="DU4" s="36"/>
    </row>
    <row r="5" spans="1:125" s="35" customFormat="1" ht="61" customHeight="1">
      <c r="A5" s="59" t="s">
        <v>113</v>
      </c>
      <c r="B5" s="45" t="s">
        <v>112</v>
      </c>
      <c r="C5" s="45" t="s">
        <v>111</v>
      </c>
      <c r="D5" s="58" t="s">
        <v>110</v>
      </c>
      <c r="E5" s="45" t="s">
        <v>109</v>
      </c>
      <c r="F5" s="45" t="s">
        <v>108</v>
      </c>
      <c r="G5" s="45" t="s">
        <v>107</v>
      </c>
      <c r="H5" s="45" t="s">
        <v>106</v>
      </c>
      <c r="I5" s="45" t="s">
        <v>105</v>
      </c>
      <c r="J5" s="57" t="s">
        <v>104</v>
      </c>
      <c r="K5" s="57" t="s">
        <v>103</v>
      </c>
      <c r="L5" s="56" t="s">
        <v>102</v>
      </c>
      <c r="M5" s="55" t="s">
        <v>101</v>
      </c>
      <c r="N5" s="54" t="s">
        <v>100</v>
      </c>
      <c r="O5" s="54" t="s">
        <v>99</v>
      </c>
      <c r="P5" s="54" t="s">
        <v>98</v>
      </c>
      <c r="Q5" s="54" t="s">
        <v>97</v>
      </c>
      <c r="R5" s="54" t="s">
        <v>96</v>
      </c>
      <c r="S5" s="53" t="s">
        <v>95</v>
      </c>
      <c r="T5" s="52" t="s">
        <v>94</v>
      </c>
      <c r="U5" s="51" t="s">
        <v>93</v>
      </c>
      <c r="V5" s="50" t="s">
        <v>92</v>
      </c>
      <c r="W5" s="49" t="s">
        <v>91</v>
      </c>
      <c r="X5" s="48" t="s">
        <v>90</v>
      </c>
      <c r="Y5" s="47" t="s">
        <v>89</v>
      </c>
      <c r="Z5" s="43" t="s">
        <v>88</v>
      </c>
      <c r="AA5" s="42" t="s">
        <v>47</v>
      </c>
      <c r="AB5" s="45" t="s">
        <v>87</v>
      </c>
      <c r="AC5" s="46" t="s">
        <v>86</v>
      </c>
      <c r="AD5" s="43" t="s">
        <v>85</v>
      </c>
      <c r="AE5" s="42" t="s">
        <v>47</v>
      </c>
      <c r="AF5" s="45" t="s">
        <v>84</v>
      </c>
      <c r="AG5" s="40" t="s">
        <v>83</v>
      </c>
      <c r="AH5" s="43" t="s">
        <v>82</v>
      </c>
      <c r="AI5" s="42" t="s">
        <v>47</v>
      </c>
      <c r="AJ5" s="45" t="s">
        <v>81</v>
      </c>
      <c r="AK5" s="40" t="s">
        <v>80</v>
      </c>
      <c r="AL5" s="43" t="s">
        <v>79</v>
      </c>
      <c r="AM5" s="42" t="s">
        <v>47</v>
      </c>
      <c r="AN5" s="45" t="s">
        <v>78</v>
      </c>
      <c r="AO5" s="40" t="s">
        <v>77</v>
      </c>
      <c r="AP5" s="43" t="s">
        <v>76</v>
      </c>
      <c r="AQ5" s="42" t="s">
        <v>47</v>
      </c>
      <c r="AR5" s="45" t="s">
        <v>75</v>
      </c>
      <c r="AS5" s="40" t="s">
        <v>74</v>
      </c>
      <c r="AT5" s="43" t="s">
        <v>73</v>
      </c>
      <c r="AU5" s="42" t="s">
        <v>47</v>
      </c>
      <c r="AV5" s="45" t="s">
        <v>72</v>
      </c>
      <c r="AW5" s="40" t="s">
        <v>71</v>
      </c>
      <c r="AX5" s="43" t="s">
        <v>70</v>
      </c>
      <c r="AY5" s="42" t="s">
        <v>69</v>
      </c>
      <c r="AZ5" s="41" t="s">
        <v>68</v>
      </c>
      <c r="BA5" s="40" t="s">
        <v>67</v>
      </c>
      <c r="BB5" s="43" t="s">
        <v>66</v>
      </c>
      <c r="BC5" s="42" t="s">
        <v>47</v>
      </c>
      <c r="BD5" s="41" t="s">
        <v>65</v>
      </c>
      <c r="BE5" s="40" t="s">
        <v>64</v>
      </c>
      <c r="BF5" s="41" t="s">
        <v>63</v>
      </c>
      <c r="BG5" s="42" t="s">
        <v>47</v>
      </c>
      <c r="BH5" s="41" t="s">
        <v>62</v>
      </c>
      <c r="BI5" s="40" t="s">
        <v>61</v>
      </c>
      <c r="BJ5" s="41" t="s">
        <v>60</v>
      </c>
      <c r="BK5" s="42" t="s">
        <v>59</v>
      </c>
      <c r="BL5" s="41" t="s">
        <v>58</v>
      </c>
      <c r="BM5" s="40" t="s">
        <v>57</v>
      </c>
      <c r="BN5" s="43" t="s">
        <v>56</v>
      </c>
      <c r="BO5" s="42" t="s">
        <v>47</v>
      </c>
      <c r="BP5" s="41" t="s">
        <v>55</v>
      </c>
      <c r="BQ5" s="40" t="s">
        <v>54</v>
      </c>
      <c r="BR5" s="41" t="s">
        <v>53</v>
      </c>
      <c r="BS5" s="42" t="s">
        <v>52</v>
      </c>
      <c r="BT5" s="41" t="s">
        <v>51</v>
      </c>
      <c r="BU5" s="40" t="s">
        <v>50</v>
      </c>
      <c r="BV5" s="44" t="s">
        <v>49</v>
      </c>
      <c r="BW5" s="43" t="s">
        <v>48</v>
      </c>
      <c r="BX5" s="42" t="s">
        <v>47</v>
      </c>
      <c r="BY5" s="41" t="s">
        <v>46</v>
      </c>
      <c r="BZ5" s="40" t="s">
        <v>45</v>
      </c>
      <c r="CA5" s="41" t="s">
        <v>44</v>
      </c>
      <c r="CB5" s="42" t="s">
        <v>43</v>
      </c>
      <c r="CC5" s="41" t="s">
        <v>42</v>
      </c>
      <c r="CD5" s="40" t="s">
        <v>41</v>
      </c>
      <c r="CE5" s="41" t="s">
        <v>40</v>
      </c>
      <c r="CF5" s="42" t="s">
        <v>39</v>
      </c>
      <c r="CG5" s="41" t="s">
        <v>38</v>
      </c>
      <c r="CH5" s="40"/>
      <c r="CI5" s="40" t="s">
        <v>37</v>
      </c>
      <c r="CJ5" s="43" t="s">
        <v>36</v>
      </c>
      <c r="CK5" s="42" t="s">
        <v>35</v>
      </c>
      <c r="CL5" s="43" t="s">
        <v>34</v>
      </c>
      <c r="CM5" s="40" t="s">
        <v>33</v>
      </c>
      <c r="CN5" s="43" t="s">
        <v>32</v>
      </c>
      <c r="CO5" s="42" t="s">
        <v>31</v>
      </c>
      <c r="CP5" s="41" t="s">
        <v>30</v>
      </c>
      <c r="CQ5" s="40" t="s">
        <v>29</v>
      </c>
      <c r="CR5" s="39" t="s">
        <v>28</v>
      </c>
      <c r="CS5" s="38" t="s">
        <v>27</v>
      </c>
      <c r="CT5" s="37">
        <f>CT4</f>
        <v>0</v>
      </c>
      <c r="CU5" s="37">
        <f t="shared" ref="CU5:DT5" si="1">CU4-CT4</f>
        <v>0</v>
      </c>
      <c r="CV5" s="37">
        <f t="shared" si="1"/>
        <v>0</v>
      </c>
      <c r="CW5" s="37">
        <f t="shared" si="1"/>
        <v>8.0000000000000004E-4</v>
      </c>
      <c r="CX5" s="37">
        <f t="shared" si="1"/>
        <v>6.1999999999999998E-3</v>
      </c>
      <c r="CY5" s="37">
        <f t="shared" si="1"/>
        <v>5.6999999999999993E-3</v>
      </c>
      <c r="CZ5" s="37">
        <f t="shared" si="1"/>
        <v>1.9300000000000001E-2</v>
      </c>
      <c r="DA5" s="37">
        <f t="shared" si="1"/>
        <v>1.2999999999999998E-2</v>
      </c>
      <c r="DB5" s="37">
        <f t="shared" si="1"/>
        <v>2.1042414999568299E-2</v>
      </c>
      <c r="DC5" s="37">
        <f t="shared" si="1"/>
        <v>1.8957585000431709E-2</v>
      </c>
      <c r="DD5" s="37">
        <f t="shared" si="1"/>
        <v>2.2199999999999998E-2</v>
      </c>
      <c r="DE5" s="37">
        <f t="shared" si="1"/>
        <v>3.2899999999999999E-2</v>
      </c>
      <c r="DF5" s="37">
        <f t="shared" si="1"/>
        <v>2.8400000000000009E-2</v>
      </c>
      <c r="DG5" s="37">
        <f t="shared" si="1"/>
        <v>7.0099999999999996E-2</v>
      </c>
      <c r="DH5" s="37">
        <f t="shared" si="1"/>
        <v>7.2200000000000014E-2</v>
      </c>
      <c r="DI5" s="37">
        <f t="shared" si="1"/>
        <v>4.8399999999999999E-2</v>
      </c>
      <c r="DJ5" s="37">
        <f t="shared" si="1"/>
        <v>8.4699999999999998E-2</v>
      </c>
      <c r="DK5" s="37">
        <f t="shared" si="1"/>
        <v>6.2800000000000022E-2</v>
      </c>
      <c r="DL5" s="37">
        <f t="shared" si="1"/>
        <v>5.6099999999999928E-2</v>
      </c>
      <c r="DM5" s="37">
        <f t="shared" si="1"/>
        <v>7.0812845168900074E-2</v>
      </c>
      <c r="DN5" s="37">
        <f t="shared" si="1"/>
        <v>5.5662425475972999E-2</v>
      </c>
      <c r="DO5" s="37">
        <f t="shared" si="1"/>
        <v>2.2924729355127016E-2</v>
      </c>
      <c r="DP5" s="37">
        <f t="shared" si="1"/>
        <v>4.8799999999999955E-2</v>
      </c>
      <c r="DQ5" s="37">
        <f t="shared" si="1"/>
        <v>3.3100000000000018E-2</v>
      </c>
      <c r="DR5" s="37">
        <f t="shared" si="1"/>
        <v>1.9533142156994976E-2</v>
      </c>
      <c r="DS5" s="37">
        <f t="shared" si="1"/>
        <v>5.5266857843005002E-2</v>
      </c>
      <c r="DT5" s="37">
        <f t="shared" si="1"/>
        <v>1.3399999999999967E-2</v>
      </c>
      <c r="DU5" s="36"/>
    </row>
    <row r="6" spans="1:125" ht="48">
      <c r="A6" s="27" t="s">
        <v>202</v>
      </c>
      <c r="B6" s="26" t="str">
        <f t="shared" ref="B6:B30" si="2">MID(F6,5,4)</f>
        <v>7-30</v>
      </c>
      <c r="C6" s="26" t="s">
        <v>200</v>
      </c>
      <c r="D6" s="25" t="str">
        <f t="shared" ref="D6:D30" si="3">MID(F6,10,2)</f>
        <v>00</v>
      </c>
      <c r="E6" s="23" t="s">
        <v>196</v>
      </c>
      <c r="F6" s="24" t="s">
        <v>193</v>
      </c>
      <c r="G6" s="24" t="s">
        <v>190</v>
      </c>
      <c r="H6" s="23" t="s">
        <v>179</v>
      </c>
      <c r="I6" s="23" t="s">
        <v>26</v>
      </c>
      <c r="J6" s="29" t="s">
        <v>25</v>
      </c>
      <c r="K6" s="29" t="s">
        <v>185</v>
      </c>
      <c r="L6" s="31">
        <v>112</v>
      </c>
      <c r="M6" s="18"/>
      <c r="N6" s="22">
        <v>0.01</v>
      </c>
      <c r="O6" s="22">
        <v>0.01</v>
      </c>
      <c r="P6" s="21">
        <v>1</v>
      </c>
      <c r="Q6" s="20">
        <v>1</v>
      </c>
      <c r="R6" s="21">
        <v>1</v>
      </c>
      <c r="S6" s="10">
        <f t="shared" ref="S6:S30" ca="1" si="4">IF(Z6&lt;$Y$1,1,0)*$AC$1+IF(AD6&lt;$Y$1,1,0)*$AG$1+IF(AH6&lt;$Y$1,1,0)*$AK$1+IF(AL6&lt;$Y$1,1,0)*$AO$1+IF(AP6&lt;$Y$1,1,0)*$AS$1+IF(AT6&lt;$Y$1,1,0)*$AW$1+IF(AX6&lt;$Y$1,1,0)*$BA$1+IF(BB6&lt;$Y$1,1,0)*$BE$1+IF(BF6&lt;$Y$1,1,0)*$BI$1+IF(BJ6&lt;$Y$1,1,0)*$BM$1+IF(BN6&lt;$Y$1,1,0)*$BQ$1+IF(BR6&lt;$Y$1,1,0)*$BU$1+IF(BW6&lt;$Y$1,1,0)*$BZ$1+IF(CA6&lt;$Y$1,1,0)*$CD$1+IF(CE6&lt;$Y$1,1,0)*$CI$1+IF(CJ6&lt;$Y$1,1,0)*$CM$1+IF(CN6&lt;$Y$1,1,0)*$CQ$1</f>
        <v>0</v>
      </c>
      <c r="T6" s="19">
        <f t="shared" ref="T6:T30" ca="1" si="5">IF(AA6&lt;$Y$1,1,0)*$AC$1+IF(AE6&lt;$Y$1,1,0)*$AG$1+IF(AI6&lt;$Y$1,1,0)*$AK$1+IF(AM6&lt;$Y$1,1,0)*$AO$1+IF(AQ6&lt;$Y$1,1,0)*$AS$1+IF(AU6&lt;$Y$1,1,0)*$AW$1+IF(AY6&lt;$Y$1,1,0)*$BA$1+IF(BC6&lt;$Y$1,1,0)*$BE$1+IF(BG6&lt;$Y$1,1,0)*$BI$1+IF(BK6&lt;$Y$1,1,0)*$BM$1+IF(BO6&lt;$Y$1,1,0)*$BQ$1+IF(BS6&lt;$Y$1,1,0)*$BU$1+IF(BX6&lt;$Y$1,1,0)*$BZ$1+IF(CB6&lt;$Y$1,1,0)*$CD$1+IF(CF6&lt;$Y$1,1,0)*$CI$1+IF(CK6&lt;$Y$1,1,0)*$CM$1+IF(CO6&lt;$Y$1,1,0)*$CQ$1</f>
        <v>0</v>
      </c>
      <c r="U6" s="18">
        <f t="shared" ref="U6:U30" ca="1" si="6">T6*R6</f>
        <v>0</v>
      </c>
      <c r="V6" s="19">
        <f t="shared" ref="V6:V30" ca="1" si="7">IF(AB6&lt;$Y$1,1,0)*$AC$1+IF(AF6&lt;$Y$1,1,0)*$AG$1+IF(AJ6&lt;$Y$1,1,0)*$AK$1+IF(AN6&lt;$Y$1,1,0)*$AO$1+IF(AR6&lt;$Y$1,1,0)*$AS$1+IF(AV6&lt;$Y$1,1,0)*$AW$1+IF(AZ6&lt;$Y$1,1,0)*$BA$1+IF(BD6&lt;$Y$1,1,0)*$BE$1+IF(BH6&lt;$Y$1,1,0)*$BI$1+IF(BL6&lt;$Y$1,1,0)*$BM$1+IF(BP6&lt;$Y$1,1,0)*$BQ$1+IF(BT6&lt;$Y$1,1,0)*$BU$1+IF(BY6&lt;$Y$1,1,0)*$BZ$1+IF(CC6&lt;$Y$1,1,0)*$CD$1+IF(CG6&lt;$Y$1,1,0)*$CI$1+IF(CL6&lt;$Y$1,1,0)*$CM$1+IF(CP6&lt;$Y$1,1,0)*$CQ$1</f>
        <v>0</v>
      </c>
      <c r="W6" s="18">
        <f t="shared" ref="W6:W30" ca="1" si="8">V6*R6</f>
        <v>0</v>
      </c>
      <c r="X6" s="19">
        <f t="shared" ref="X6:X30" si="9">((IF(AC6&lt;&gt;0,1,0)*$AC$1+(IF(AG6&lt;&gt;0,1,0)*$AG$1+(IF(AK6&lt;&gt;0,1,0)*$AK$1+(IF(AO6&lt;&gt;0,1,0)*$AO$1+(IF(AS6&lt;&gt;0,1,0)*$AS$1+(IF(AW6&lt;&gt;0,1,0)*$AW$1+(IF(BA6&lt;&gt;0,1,0)*$BA$1+(IF(BE6&lt;&gt;0,1,0)*$BE$1+IF(BI6&lt;&gt;0,1,0)*$BI$1+IF(BM6&lt;&gt;0,1,0)*$BM$1+IF(BQ6&lt;&gt;0,1,0)*$BQ$1+IF(BU6&lt;&gt;0,1,0)*$BU$1+IF(BZ6&lt;&gt;0,1,0)*$BZ$1+IF(CD6&lt;&gt;0,1,0)*$CD$1+IF(CI6&lt;&gt;0,1,0)*$CI$1+IF(CM6&lt;&gt;0,1,0)*$CM$1+IF(CQ6&lt;&gt;0,1,0)*$CQ$1)))))))))</f>
        <v>0</v>
      </c>
      <c r="Y6" s="18">
        <f t="shared" ref="Y6:Y30" si="10">R6*X6</f>
        <v>0</v>
      </c>
      <c r="Z6" s="12">
        <v>45473</v>
      </c>
      <c r="AA6" s="12">
        <v>45407</v>
      </c>
      <c r="AB6" s="12">
        <f t="shared" ref="AB6:AB30" si="11">IF(AC6&lt;&gt;"",AC6,IF($Y$1&gt;Z6,$Y$1,Z6))</f>
        <v>45407</v>
      </c>
      <c r="AC6" s="11">
        <v>45407</v>
      </c>
      <c r="AD6" s="12">
        <v>45480</v>
      </c>
      <c r="AE6" s="12">
        <v>45408</v>
      </c>
      <c r="AF6" s="12">
        <f t="shared" ref="AF6:AF30" si="12">IF(AG6&lt;&gt;"",AG6,AB6+AD6-Z6)</f>
        <v>45408</v>
      </c>
      <c r="AG6" s="11">
        <v>45408</v>
      </c>
      <c r="AH6" s="12">
        <v>45515</v>
      </c>
      <c r="AI6" s="12">
        <v>45533</v>
      </c>
      <c r="AJ6" s="12">
        <f t="shared" ref="AJ6:AJ30" si="13">IF(AK6&lt;&gt;"",AK6,AF6+AH6-AD6)</f>
        <v>45533</v>
      </c>
      <c r="AK6" s="11">
        <v>45533</v>
      </c>
      <c r="AL6" s="12">
        <v>45529</v>
      </c>
      <c r="AM6" s="12">
        <v>45493</v>
      </c>
      <c r="AN6" s="12">
        <f t="shared" ref="AN6:AN30" si="14">IF(AO6&lt;&gt;"",AO6,AJ6+AL6-AH6)</f>
        <v>45493</v>
      </c>
      <c r="AO6" s="11">
        <v>45493</v>
      </c>
      <c r="AP6" s="12">
        <v>45532</v>
      </c>
      <c r="AQ6" s="12">
        <v>45533</v>
      </c>
      <c r="AR6" s="12">
        <f t="shared" ref="AR6:AR30" si="15">IF(AS6&lt;&gt;"",AS6,AN6+AP6-AL6)</f>
        <v>45533</v>
      </c>
      <c r="AS6" s="11">
        <v>45533</v>
      </c>
      <c r="AT6" s="12">
        <v>45545</v>
      </c>
      <c r="AU6" s="12">
        <v>45649</v>
      </c>
      <c r="AV6" s="12">
        <f t="shared" ref="AV6:AV30" si="16">IF(AW6&lt;&gt;"",AW6,AR6+AT6-AP6)</f>
        <v>45649</v>
      </c>
      <c r="AW6" s="11">
        <v>45649</v>
      </c>
      <c r="AX6" s="12">
        <v>45555</v>
      </c>
      <c r="AY6" s="12">
        <v>45664</v>
      </c>
      <c r="AZ6" s="12">
        <f>IF(BA6&lt;&gt;"",BA6,AV6+AX6-AT6)</f>
        <v>45664</v>
      </c>
      <c r="BA6" s="11">
        <v>45664</v>
      </c>
      <c r="BB6" s="12">
        <f t="shared" ref="BB6:BB30" si="17">AX6+3</f>
        <v>45558</v>
      </c>
      <c r="BC6" s="12">
        <v>45665</v>
      </c>
      <c r="BD6" s="12">
        <f>IF(BE6&lt;&gt;"",BE6,AZ6+BB6-AX6)</f>
        <v>45665</v>
      </c>
      <c r="BE6" s="11">
        <v>45665</v>
      </c>
      <c r="BF6" s="12">
        <f t="shared" ref="BF6:BF30" si="18">AX6+15</f>
        <v>45570</v>
      </c>
      <c r="BG6" s="12">
        <v>45680</v>
      </c>
      <c r="BH6" s="12">
        <f>IF(BI6&lt;&gt;"",BI6,BD6+BF6-BB6)</f>
        <v>45680</v>
      </c>
      <c r="BI6" s="11">
        <v>45680</v>
      </c>
      <c r="BJ6" s="12">
        <f t="shared" ref="BJ6:BJ30" si="19">AX6+21</f>
        <v>45576</v>
      </c>
      <c r="BK6" s="12">
        <v>45716</v>
      </c>
      <c r="BL6" s="12">
        <v>45716</v>
      </c>
      <c r="BM6" s="16">
        <v>45723</v>
      </c>
      <c r="BN6" s="12">
        <v>45675</v>
      </c>
      <c r="BO6" s="12">
        <v>45730</v>
      </c>
      <c r="BP6" s="17">
        <v>45730</v>
      </c>
      <c r="BQ6" s="11">
        <v>45730</v>
      </c>
      <c r="BR6" s="12">
        <f t="shared" ref="BR6:BR30" si="20">BW6-10</f>
        <v>45875</v>
      </c>
      <c r="BS6" s="12">
        <v>45768</v>
      </c>
      <c r="BT6" s="12">
        <v>45768</v>
      </c>
      <c r="BU6" s="11">
        <v>45736</v>
      </c>
      <c r="BV6" s="15">
        <f t="shared" ref="BV6:BV30" si="21">BW6-AX6</f>
        <v>330</v>
      </c>
      <c r="BW6" s="12">
        <v>45885</v>
      </c>
      <c r="BX6" s="12">
        <v>45744</v>
      </c>
      <c r="BY6" s="12">
        <v>45744</v>
      </c>
      <c r="BZ6" s="11">
        <v>45744</v>
      </c>
      <c r="CA6" s="12">
        <f t="shared" ref="CA6:CA30" si="22">BW6+15</f>
        <v>45900</v>
      </c>
      <c r="CB6" s="12">
        <v>45757</v>
      </c>
      <c r="CC6" s="12">
        <v>45757</v>
      </c>
      <c r="CD6" s="11">
        <v>45757</v>
      </c>
      <c r="CE6" s="12">
        <f t="shared" ref="CE6:CE30" si="23">CJ6-3</f>
        <v>45927</v>
      </c>
      <c r="CF6" s="12">
        <v>45780</v>
      </c>
      <c r="CG6" s="12">
        <v>45780</v>
      </c>
      <c r="CH6" s="14">
        <f t="shared" ref="CH6:CH30" si="24">CG6-BA6</f>
        <v>116</v>
      </c>
      <c r="CI6" s="11">
        <v>45780</v>
      </c>
      <c r="CJ6" s="12">
        <v>45930</v>
      </c>
      <c r="CK6" s="12">
        <v>45986</v>
      </c>
      <c r="CL6" s="12">
        <v>45986</v>
      </c>
      <c r="CM6" s="11">
        <v>45986</v>
      </c>
      <c r="CN6" s="12">
        <v>46230</v>
      </c>
      <c r="CO6" s="12">
        <v>46046</v>
      </c>
      <c r="CP6" s="12">
        <v>46233</v>
      </c>
      <c r="CQ6" s="11"/>
      <c r="CR6" s="28"/>
      <c r="CS6" s="34"/>
      <c r="CT6" s="1">
        <f t="shared" ref="CT6:DC15" si="25">IF($AA6&lt;CT$1,1,0)*$AC$1+IF($AE6&lt;CT$1,1,0)*$AG$1+IF($AI6&lt;CT$1,1,0)*$AK$1+IF($AM6&lt;CT$1,1,0)*$AO$1+IF($AQ6&lt;CT$1,1,0)*$AS$1+IF($AU6&lt;CT$1,1,0)*$AW$1+IF($AY6&lt;CT$1,1,0)*$BA$1+IF($BC6&lt;CT$1,1,0)*$BE$1+IF($BG6&lt;CT$1,1,0)*$BI$1+IF($BK6&lt;CT$1,1,0)*$BM$1+IF($BO6&lt;CT$1,1,0)*$BQ$1+IF($BS6&lt;CT$1,1,0)*$BU$1+IF($BX6&lt;CT$1,1,0)*$BZ$1+IF($CB6&lt;CT$1,1,0)*$CD$1+IF($CF6&lt;CT$1,1,0)*$CI$1+IF($CK6&lt;CT$1,1,0)*$CM$1+IF($CO6&lt;CT$1,1,0)*$CQ$1</f>
        <v>0</v>
      </c>
      <c r="CU6" s="1">
        <f t="shared" si="25"/>
        <v>0</v>
      </c>
      <c r="CV6" s="1">
        <f t="shared" si="25"/>
        <v>0</v>
      </c>
      <c r="CW6" s="1">
        <f t="shared" si="25"/>
        <v>0</v>
      </c>
      <c r="CX6" s="1">
        <f t="shared" si="25"/>
        <v>0</v>
      </c>
      <c r="CY6" s="1">
        <f t="shared" si="25"/>
        <v>0</v>
      </c>
      <c r="CZ6" s="1">
        <f t="shared" si="25"/>
        <v>0</v>
      </c>
      <c r="DA6" s="1">
        <f t="shared" si="25"/>
        <v>0</v>
      </c>
      <c r="DB6" s="1">
        <f t="shared" si="25"/>
        <v>0</v>
      </c>
      <c r="DC6" s="1">
        <f t="shared" si="25"/>
        <v>0</v>
      </c>
      <c r="DD6" s="1">
        <f t="shared" ref="DD6:DM15" si="26">IF($AA6&lt;DD$1,1,0)*$AC$1+IF($AE6&lt;DD$1,1,0)*$AG$1+IF($AI6&lt;DD$1,1,0)*$AK$1+IF($AM6&lt;DD$1,1,0)*$AO$1+IF($AQ6&lt;DD$1,1,0)*$AS$1+IF($AU6&lt;DD$1,1,0)*$AW$1+IF($AY6&lt;DD$1,1,0)*$BA$1+IF($BC6&lt;DD$1,1,0)*$BE$1+IF($BG6&lt;DD$1,1,0)*$BI$1+IF($BK6&lt;DD$1,1,0)*$BM$1+IF($BO6&lt;DD$1,1,0)*$BQ$1+IF($BS6&lt;DD$1,1,0)*$BU$1+IF($BX6&lt;DD$1,1,0)*$BZ$1+IF($CB6&lt;DD$1,1,0)*$CD$1+IF($CF6&lt;DD$1,1,0)*$CI$1+IF($CK6&lt;DD$1,1,0)*$CM$1+IF($CO6&lt;DD$1,1,0)*$CQ$1</f>
        <v>0</v>
      </c>
      <c r="DE6" s="1">
        <f t="shared" si="26"/>
        <v>0</v>
      </c>
      <c r="DF6" s="1">
        <f t="shared" si="26"/>
        <v>0</v>
      </c>
      <c r="DG6" s="1">
        <f t="shared" si="26"/>
        <v>0</v>
      </c>
      <c r="DH6" s="1">
        <f t="shared" si="26"/>
        <v>0</v>
      </c>
      <c r="DI6" s="1">
        <f t="shared" si="26"/>
        <v>0</v>
      </c>
      <c r="DJ6" s="1">
        <f t="shared" si="26"/>
        <v>0</v>
      </c>
      <c r="DK6" s="1">
        <f t="shared" si="26"/>
        <v>0</v>
      </c>
      <c r="DL6" s="1">
        <f t="shared" si="26"/>
        <v>0</v>
      </c>
      <c r="DM6" s="1">
        <f t="shared" si="26"/>
        <v>0</v>
      </c>
      <c r="DN6" s="1">
        <f t="shared" ref="DN6:DT15" si="27">IF($AA6&lt;DN$1,1,0)*$AC$1+IF($AE6&lt;DN$1,1,0)*$AG$1+IF($AI6&lt;DN$1,1,0)*$AK$1+IF($AM6&lt;DN$1,1,0)*$AO$1+IF($AQ6&lt;DN$1,1,0)*$AS$1+IF($AU6&lt;DN$1,1,0)*$AW$1+IF($AY6&lt;DN$1,1,0)*$BA$1+IF($BC6&lt;DN$1,1,0)*$BE$1+IF($BG6&lt;DN$1,1,0)*$BI$1+IF($BK6&lt;DN$1,1,0)*$BM$1+IF($BO6&lt;DN$1,1,0)*$BQ$1+IF($BS6&lt;DN$1,1,0)*$BU$1+IF($BX6&lt;DN$1,1,0)*$BZ$1+IF($CB6&lt;DN$1,1,0)*$CD$1+IF($CF6&lt;DN$1,1,0)*$CI$1+IF($CK6&lt;DN$1,1,0)*$CM$1+IF($CO6&lt;DN$1,1,0)*$CQ$1</f>
        <v>0</v>
      </c>
      <c r="DO6" s="1">
        <f t="shared" si="27"/>
        <v>0</v>
      </c>
      <c r="DP6" s="1">
        <f t="shared" si="27"/>
        <v>0</v>
      </c>
      <c r="DQ6" s="1">
        <f t="shared" si="27"/>
        <v>0</v>
      </c>
      <c r="DR6" s="1">
        <f t="shared" si="27"/>
        <v>0</v>
      </c>
      <c r="DS6" s="1">
        <f t="shared" si="27"/>
        <v>0</v>
      </c>
      <c r="DT6" s="1">
        <f t="shared" si="27"/>
        <v>0</v>
      </c>
    </row>
    <row r="7" spans="1:125" ht="51.5" customHeight="1">
      <c r="A7" s="27" t="s">
        <v>203</v>
      </c>
      <c r="B7" s="26" t="str">
        <f t="shared" si="2"/>
        <v>21-3</v>
      </c>
      <c r="C7" s="26" t="s">
        <v>200</v>
      </c>
      <c r="D7" s="25" t="str">
        <f t="shared" si="3"/>
        <v>-3</v>
      </c>
      <c r="E7" s="23" t="s">
        <v>196</v>
      </c>
      <c r="F7" s="24" t="s">
        <v>194</v>
      </c>
      <c r="G7" s="24" t="s">
        <v>190</v>
      </c>
      <c r="H7" s="23" t="s">
        <v>179</v>
      </c>
      <c r="I7" s="13" t="s">
        <v>187</v>
      </c>
      <c r="J7" s="30" t="s">
        <v>24</v>
      </c>
      <c r="K7" s="29" t="s">
        <v>185</v>
      </c>
      <c r="L7" s="31">
        <v>32</v>
      </c>
      <c r="M7" s="18"/>
      <c r="N7" s="22">
        <v>0.01</v>
      </c>
      <c r="O7" s="22">
        <v>0.01</v>
      </c>
      <c r="P7" s="21">
        <v>1</v>
      </c>
      <c r="Q7" s="20">
        <v>1</v>
      </c>
      <c r="R7" s="21">
        <v>1</v>
      </c>
      <c r="S7" s="10">
        <f t="shared" ca="1" si="4"/>
        <v>0</v>
      </c>
      <c r="T7" s="19">
        <f t="shared" ca="1" si="5"/>
        <v>0</v>
      </c>
      <c r="U7" s="18">
        <f t="shared" ca="1" si="6"/>
        <v>0</v>
      </c>
      <c r="V7" s="19">
        <f t="shared" ca="1" si="7"/>
        <v>0</v>
      </c>
      <c r="W7" s="18">
        <f t="shared" ca="1" si="8"/>
        <v>0</v>
      </c>
      <c r="X7" s="19">
        <f t="shared" si="9"/>
        <v>0</v>
      </c>
      <c r="Y7" s="18">
        <f t="shared" si="10"/>
        <v>0</v>
      </c>
      <c r="Z7" s="12">
        <v>45473</v>
      </c>
      <c r="AA7" s="12">
        <v>45407</v>
      </c>
      <c r="AB7" s="12">
        <f t="shared" si="11"/>
        <v>45407</v>
      </c>
      <c r="AC7" s="11">
        <v>45407</v>
      </c>
      <c r="AD7" s="12">
        <v>45480</v>
      </c>
      <c r="AE7" s="12">
        <v>45408</v>
      </c>
      <c r="AF7" s="12">
        <f t="shared" si="12"/>
        <v>45408</v>
      </c>
      <c r="AG7" s="11">
        <v>45408</v>
      </c>
      <c r="AH7" s="12">
        <v>45515</v>
      </c>
      <c r="AI7" s="12">
        <v>45533</v>
      </c>
      <c r="AJ7" s="12">
        <f t="shared" si="13"/>
        <v>45533</v>
      </c>
      <c r="AK7" s="11">
        <v>45533</v>
      </c>
      <c r="AL7" s="12">
        <v>45529</v>
      </c>
      <c r="AM7" s="12">
        <v>45493</v>
      </c>
      <c r="AN7" s="12">
        <f t="shared" si="14"/>
        <v>45493</v>
      </c>
      <c r="AO7" s="11">
        <v>45493</v>
      </c>
      <c r="AP7" s="12">
        <v>45532</v>
      </c>
      <c r="AQ7" s="12">
        <v>45533</v>
      </c>
      <c r="AR7" s="12">
        <f t="shared" si="15"/>
        <v>45533</v>
      </c>
      <c r="AS7" s="11">
        <v>45533</v>
      </c>
      <c r="AT7" s="12">
        <v>45545</v>
      </c>
      <c r="AU7" s="12">
        <v>45649</v>
      </c>
      <c r="AV7" s="12">
        <f t="shared" si="16"/>
        <v>45649</v>
      </c>
      <c r="AW7" s="11">
        <v>45649</v>
      </c>
      <c r="AX7" s="12">
        <v>45555</v>
      </c>
      <c r="AY7" s="12">
        <v>45908</v>
      </c>
      <c r="AZ7" s="12">
        <v>45908</v>
      </c>
      <c r="BA7" s="11">
        <v>45908</v>
      </c>
      <c r="BB7" s="12">
        <f t="shared" si="17"/>
        <v>45558</v>
      </c>
      <c r="BC7" s="12">
        <v>45911</v>
      </c>
      <c r="BD7" s="12">
        <f>AZ7+3</f>
        <v>45911</v>
      </c>
      <c r="BE7" s="11">
        <v>45911</v>
      </c>
      <c r="BF7" s="12">
        <f t="shared" si="18"/>
        <v>45570</v>
      </c>
      <c r="BG7" s="12">
        <v>45982</v>
      </c>
      <c r="BH7" s="12">
        <v>45982</v>
      </c>
      <c r="BI7" s="11">
        <v>45982</v>
      </c>
      <c r="BJ7" s="12">
        <f t="shared" si="19"/>
        <v>45576</v>
      </c>
      <c r="BK7" s="12">
        <v>45992</v>
      </c>
      <c r="BL7" s="12">
        <f>BH7+10</f>
        <v>45992</v>
      </c>
      <c r="BM7" s="16" t="s">
        <v>0</v>
      </c>
      <c r="BN7" s="12">
        <v>45675</v>
      </c>
      <c r="BO7" s="12">
        <v>45976</v>
      </c>
      <c r="BP7" s="17">
        <v>45976</v>
      </c>
      <c r="BQ7" s="11">
        <v>45976</v>
      </c>
      <c r="BR7" s="12">
        <f t="shared" si="20"/>
        <v>45875</v>
      </c>
      <c r="BS7" s="12">
        <v>46000</v>
      </c>
      <c r="BT7" s="12">
        <v>46002</v>
      </c>
      <c r="BU7" s="11">
        <v>46002</v>
      </c>
      <c r="BV7" s="15">
        <f t="shared" si="21"/>
        <v>330</v>
      </c>
      <c r="BW7" s="12">
        <v>45885</v>
      </c>
      <c r="BX7" s="12">
        <v>46005</v>
      </c>
      <c r="BY7" s="12">
        <v>46016</v>
      </c>
      <c r="BZ7" s="11">
        <v>46016</v>
      </c>
      <c r="CA7" s="12">
        <f t="shared" si="22"/>
        <v>45900</v>
      </c>
      <c r="CB7" s="12">
        <v>46020</v>
      </c>
      <c r="CC7" s="12">
        <f>BY7+15</f>
        <v>46031</v>
      </c>
      <c r="CD7" s="11">
        <v>46031</v>
      </c>
      <c r="CE7" s="12">
        <f t="shared" si="23"/>
        <v>45927</v>
      </c>
      <c r="CF7" s="12">
        <v>46035</v>
      </c>
      <c r="CG7" s="12">
        <v>46045</v>
      </c>
      <c r="CH7" s="14">
        <f t="shared" si="24"/>
        <v>137</v>
      </c>
      <c r="CI7" s="11">
        <v>46045</v>
      </c>
      <c r="CJ7" s="12">
        <v>45930</v>
      </c>
      <c r="CK7" s="12">
        <v>46105</v>
      </c>
      <c r="CL7" s="12">
        <f>CG7+70</f>
        <v>46115</v>
      </c>
      <c r="CM7" s="11">
        <v>46115</v>
      </c>
      <c r="CN7" s="12">
        <v>46230</v>
      </c>
      <c r="CO7" s="12">
        <v>46165</v>
      </c>
      <c r="CP7" s="12">
        <v>46233</v>
      </c>
      <c r="CQ7" s="11"/>
      <c r="CR7" s="28"/>
      <c r="CS7" s="34"/>
      <c r="CT7" s="1">
        <f t="shared" si="25"/>
        <v>0</v>
      </c>
      <c r="CU7" s="1">
        <f t="shared" si="25"/>
        <v>0</v>
      </c>
      <c r="CV7" s="1">
        <f t="shared" si="25"/>
        <v>0</v>
      </c>
      <c r="CW7" s="1">
        <f t="shared" si="25"/>
        <v>0</v>
      </c>
      <c r="CX7" s="1">
        <f t="shared" si="25"/>
        <v>0</v>
      </c>
      <c r="CY7" s="1">
        <f t="shared" si="25"/>
        <v>0</v>
      </c>
      <c r="CZ7" s="1">
        <f t="shared" si="25"/>
        <v>0</v>
      </c>
      <c r="DA7" s="1">
        <f t="shared" si="25"/>
        <v>0</v>
      </c>
      <c r="DB7" s="1">
        <f t="shared" si="25"/>
        <v>0</v>
      </c>
      <c r="DC7" s="1">
        <f t="shared" si="25"/>
        <v>0</v>
      </c>
      <c r="DD7" s="1">
        <f t="shared" si="26"/>
        <v>0</v>
      </c>
      <c r="DE7" s="1">
        <f t="shared" si="26"/>
        <v>0</v>
      </c>
      <c r="DF7" s="1">
        <f t="shared" si="26"/>
        <v>0</v>
      </c>
      <c r="DG7" s="1">
        <f t="shared" si="26"/>
        <v>0</v>
      </c>
      <c r="DH7" s="1">
        <f t="shared" si="26"/>
        <v>0</v>
      </c>
      <c r="DI7" s="1">
        <f t="shared" si="26"/>
        <v>0</v>
      </c>
      <c r="DJ7" s="1">
        <f t="shared" si="26"/>
        <v>0</v>
      </c>
      <c r="DK7" s="1">
        <f t="shared" si="26"/>
        <v>0</v>
      </c>
      <c r="DL7" s="1">
        <f t="shared" si="26"/>
        <v>0</v>
      </c>
      <c r="DM7" s="1">
        <f t="shared" si="26"/>
        <v>0</v>
      </c>
      <c r="DN7" s="1">
        <f t="shared" si="27"/>
        <v>0</v>
      </c>
      <c r="DO7" s="1">
        <f t="shared" si="27"/>
        <v>0</v>
      </c>
      <c r="DP7" s="1">
        <f t="shared" si="27"/>
        <v>0</v>
      </c>
      <c r="DQ7" s="1">
        <f t="shared" si="27"/>
        <v>0</v>
      </c>
      <c r="DR7" s="1">
        <f t="shared" si="27"/>
        <v>0</v>
      </c>
      <c r="DS7" s="1">
        <f t="shared" si="27"/>
        <v>0</v>
      </c>
      <c r="DT7" s="1">
        <f t="shared" si="27"/>
        <v>0</v>
      </c>
    </row>
    <row r="8" spans="1:125">
      <c r="A8" s="27" t="s">
        <v>203</v>
      </c>
      <c r="B8" s="26" t="str">
        <f t="shared" si="2"/>
        <v>21-3</v>
      </c>
      <c r="C8" s="26" t="s">
        <v>200</v>
      </c>
      <c r="D8" s="25" t="str">
        <f t="shared" si="3"/>
        <v>-3</v>
      </c>
      <c r="E8" s="24" t="s">
        <v>197</v>
      </c>
      <c r="F8" s="24" t="s">
        <v>194</v>
      </c>
      <c r="G8" s="24" t="s">
        <v>191</v>
      </c>
      <c r="H8" s="24" t="s">
        <v>180</v>
      </c>
      <c r="I8" s="24" t="s">
        <v>188</v>
      </c>
      <c r="J8" s="24" t="s">
        <v>23</v>
      </c>
      <c r="K8" s="29" t="s">
        <v>185</v>
      </c>
      <c r="L8" s="31">
        <v>28</v>
      </c>
      <c r="M8" s="18"/>
      <c r="N8" s="22">
        <v>0.01</v>
      </c>
      <c r="O8" s="22">
        <v>0.01</v>
      </c>
      <c r="P8" s="21">
        <v>1</v>
      </c>
      <c r="Q8" s="20">
        <v>1</v>
      </c>
      <c r="R8" s="21">
        <v>1</v>
      </c>
      <c r="S8" s="10">
        <f t="shared" ca="1" si="4"/>
        <v>0</v>
      </c>
      <c r="T8" s="19">
        <f t="shared" ca="1" si="5"/>
        <v>0</v>
      </c>
      <c r="U8" s="18">
        <f t="shared" ca="1" si="6"/>
        <v>0</v>
      </c>
      <c r="V8" s="19">
        <f t="shared" ca="1" si="7"/>
        <v>0</v>
      </c>
      <c r="W8" s="18">
        <f t="shared" ca="1" si="8"/>
        <v>0</v>
      </c>
      <c r="X8" s="19">
        <f t="shared" si="9"/>
        <v>0</v>
      </c>
      <c r="Y8" s="18">
        <f t="shared" si="10"/>
        <v>0</v>
      </c>
      <c r="Z8" s="12">
        <v>45463</v>
      </c>
      <c r="AA8" s="12">
        <v>45463</v>
      </c>
      <c r="AB8" s="12">
        <f t="shared" si="11"/>
        <v>45463</v>
      </c>
      <c r="AC8" s="11">
        <f t="shared" ref="AC8:AC30" si="28">Z8</f>
        <v>45463</v>
      </c>
      <c r="AD8" s="12">
        <v>45470</v>
      </c>
      <c r="AE8" s="12">
        <v>45468</v>
      </c>
      <c r="AF8" s="12">
        <f t="shared" si="12"/>
        <v>45468</v>
      </c>
      <c r="AG8" s="11">
        <f t="shared" ref="AG8:AG30" si="29">AC8+5</f>
        <v>45468</v>
      </c>
      <c r="AH8" s="12">
        <v>45505</v>
      </c>
      <c r="AI8" s="12">
        <v>45516</v>
      </c>
      <c r="AJ8" s="12">
        <f t="shared" si="13"/>
        <v>45516</v>
      </c>
      <c r="AK8" s="11">
        <v>45516</v>
      </c>
      <c r="AL8" s="12">
        <v>45540</v>
      </c>
      <c r="AM8" s="12">
        <v>45519</v>
      </c>
      <c r="AN8" s="12">
        <f t="shared" si="14"/>
        <v>45519</v>
      </c>
      <c r="AO8" s="11">
        <v>45519</v>
      </c>
      <c r="AP8" s="12">
        <v>45543</v>
      </c>
      <c r="AQ8" s="12">
        <v>45521</v>
      </c>
      <c r="AR8" s="12">
        <f t="shared" si="15"/>
        <v>45521</v>
      </c>
      <c r="AS8" s="11">
        <v>45521</v>
      </c>
      <c r="AT8" s="12">
        <v>45554</v>
      </c>
      <c r="AU8" s="12">
        <v>45528</v>
      </c>
      <c r="AV8" s="12">
        <f t="shared" si="16"/>
        <v>45528</v>
      </c>
      <c r="AW8" s="11">
        <v>45528</v>
      </c>
      <c r="AX8" s="12">
        <v>45574</v>
      </c>
      <c r="AY8" s="12">
        <v>45537</v>
      </c>
      <c r="AZ8" s="12">
        <f t="shared" ref="AZ8:AZ30" si="30">IF(BA8&lt;&gt;"",BA8,AV8+AX8-AT8)</f>
        <v>45537</v>
      </c>
      <c r="BA8" s="11">
        <v>45537</v>
      </c>
      <c r="BB8" s="12">
        <f t="shared" si="17"/>
        <v>45577</v>
      </c>
      <c r="BC8" s="12">
        <v>45540</v>
      </c>
      <c r="BD8" s="12">
        <f t="shared" ref="BD8:BD30" si="31">IF(BE8&lt;&gt;"",BE8,AZ8+BB8-AX8)</f>
        <v>45540</v>
      </c>
      <c r="BE8" s="11">
        <f t="shared" ref="BE8:BE30" si="32">BA8+3</f>
        <v>45540</v>
      </c>
      <c r="BF8" s="12">
        <f t="shared" si="18"/>
        <v>45589</v>
      </c>
      <c r="BG8" s="12">
        <v>45575</v>
      </c>
      <c r="BH8" s="12">
        <f t="shared" ref="BH8:BH30" si="33">IF(BI8&lt;&gt;"",BI8,BD8+BF8-BB8)</f>
        <v>45575</v>
      </c>
      <c r="BI8" s="11">
        <v>45575</v>
      </c>
      <c r="BJ8" s="12">
        <f t="shared" si="19"/>
        <v>45595</v>
      </c>
      <c r="BK8" s="12">
        <v>45595</v>
      </c>
      <c r="BL8" s="12">
        <f t="shared" ref="BL8:BL30" si="34">IF(BM8&lt;&gt;"",BM8,BH8+BJ8-BF8)</f>
        <v>45595</v>
      </c>
      <c r="BM8" s="16">
        <v>45595</v>
      </c>
      <c r="BN8" s="12">
        <v>45634</v>
      </c>
      <c r="BO8" s="12">
        <v>45597</v>
      </c>
      <c r="BP8" s="12">
        <f t="shared" ref="BP8:BP30" si="35">IF(BQ8&lt;&gt;"",BQ8,BL8+BN8-BJ8)</f>
        <v>45597</v>
      </c>
      <c r="BQ8" s="11">
        <v>45597</v>
      </c>
      <c r="BR8" s="12">
        <f t="shared" si="20"/>
        <v>45774</v>
      </c>
      <c r="BS8" s="12">
        <v>45843</v>
      </c>
      <c r="BT8" s="12">
        <v>45843</v>
      </c>
      <c r="BU8" s="11">
        <v>45843</v>
      </c>
      <c r="BV8" s="15">
        <f t="shared" si="21"/>
        <v>210</v>
      </c>
      <c r="BW8" s="12">
        <v>45784</v>
      </c>
      <c r="BX8" s="12">
        <v>45868</v>
      </c>
      <c r="BY8" s="12">
        <v>45868</v>
      </c>
      <c r="BZ8" s="11">
        <v>45868</v>
      </c>
      <c r="CA8" s="12">
        <f t="shared" si="22"/>
        <v>45799</v>
      </c>
      <c r="CB8" s="12">
        <v>45878</v>
      </c>
      <c r="CC8" s="12">
        <f t="shared" ref="CC8:CC15" si="36">BY8+10</f>
        <v>45878</v>
      </c>
      <c r="CD8" s="11">
        <v>45878</v>
      </c>
      <c r="CE8" s="12">
        <f t="shared" si="23"/>
        <v>45826</v>
      </c>
      <c r="CF8" s="12">
        <v>45928</v>
      </c>
      <c r="CG8" s="12">
        <v>45928</v>
      </c>
      <c r="CH8" s="14">
        <f t="shared" si="24"/>
        <v>391</v>
      </c>
      <c r="CI8" s="11">
        <v>45928</v>
      </c>
      <c r="CJ8" s="12">
        <v>45829</v>
      </c>
      <c r="CK8" s="12">
        <v>46021</v>
      </c>
      <c r="CL8" s="12">
        <v>46052</v>
      </c>
      <c r="CM8" s="11">
        <v>46052</v>
      </c>
      <c r="CN8" s="12">
        <v>46009</v>
      </c>
      <c r="CO8" s="12">
        <v>46081</v>
      </c>
      <c r="CP8" s="12">
        <v>45975</v>
      </c>
      <c r="CQ8" s="11">
        <v>45975</v>
      </c>
      <c r="CR8" s="28"/>
      <c r="CS8" s="28"/>
      <c r="CT8" s="1">
        <f t="shared" si="25"/>
        <v>0</v>
      </c>
      <c r="CU8" s="1">
        <f t="shared" si="25"/>
        <v>0</v>
      </c>
      <c r="CV8" s="1">
        <f t="shared" si="25"/>
        <v>0</v>
      </c>
      <c r="CW8" s="1">
        <f t="shared" si="25"/>
        <v>0</v>
      </c>
      <c r="CX8" s="1">
        <f t="shared" si="25"/>
        <v>0</v>
      </c>
      <c r="CY8" s="1">
        <f t="shared" si="25"/>
        <v>0</v>
      </c>
      <c r="CZ8" s="1">
        <f t="shared" si="25"/>
        <v>0</v>
      </c>
      <c r="DA8" s="1">
        <f t="shared" si="25"/>
        <v>0</v>
      </c>
      <c r="DB8" s="1">
        <f t="shared" si="25"/>
        <v>0</v>
      </c>
      <c r="DC8" s="1">
        <f t="shared" si="25"/>
        <v>0</v>
      </c>
      <c r="DD8" s="1">
        <f t="shared" si="26"/>
        <v>0</v>
      </c>
      <c r="DE8" s="1">
        <f t="shared" si="26"/>
        <v>0</v>
      </c>
      <c r="DF8" s="1">
        <f t="shared" si="26"/>
        <v>0</v>
      </c>
      <c r="DG8" s="1">
        <f t="shared" si="26"/>
        <v>0</v>
      </c>
      <c r="DH8" s="1">
        <f t="shared" si="26"/>
        <v>0</v>
      </c>
      <c r="DI8" s="1">
        <f t="shared" si="26"/>
        <v>0</v>
      </c>
      <c r="DJ8" s="1">
        <f t="shared" si="26"/>
        <v>0</v>
      </c>
      <c r="DK8" s="1">
        <f t="shared" si="26"/>
        <v>0</v>
      </c>
      <c r="DL8" s="1">
        <f t="shared" si="26"/>
        <v>0</v>
      </c>
      <c r="DM8" s="1">
        <f t="shared" si="26"/>
        <v>0</v>
      </c>
      <c r="DN8" s="1">
        <f t="shared" si="27"/>
        <v>0</v>
      </c>
      <c r="DO8" s="1">
        <f t="shared" si="27"/>
        <v>0</v>
      </c>
      <c r="DP8" s="1">
        <f t="shared" si="27"/>
        <v>0</v>
      </c>
      <c r="DQ8" s="1">
        <f t="shared" si="27"/>
        <v>0</v>
      </c>
      <c r="DR8" s="1">
        <f t="shared" si="27"/>
        <v>0</v>
      </c>
      <c r="DS8" s="1">
        <f t="shared" si="27"/>
        <v>0</v>
      </c>
      <c r="DT8" s="1">
        <f t="shared" si="27"/>
        <v>0</v>
      </c>
    </row>
    <row r="9" spans="1:125">
      <c r="A9" s="27" t="s">
        <v>202</v>
      </c>
      <c r="B9" s="26" t="str">
        <f t="shared" si="2"/>
        <v>7-30</v>
      </c>
      <c r="C9" s="26" t="s">
        <v>200</v>
      </c>
      <c r="D9" s="25" t="str">
        <f t="shared" si="3"/>
        <v>00</v>
      </c>
      <c r="E9" s="24" t="s">
        <v>197</v>
      </c>
      <c r="F9" s="24" t="s">
        <v>193</v>
      </c>
      <c r="G9" s="24" t="s">
        <v>192</v>
      </c>
      <c r="H9" s="24" t="s">
        <v>181</v>
      </c>
      <c r="I9" s="24" t="s">
        <v>188</v>
      </c>
      <c r="J9" s="24" t="s">
        <v>22</v>
      </c>
      <c r="K9" s="29" t="s">
        <v>185</v>
      </c>
      <c r="L9" s="31">
        <v>28</v>
      </c>
      <c r="M9" s="18"/>
      <c r="N9" s="22">
        <v>0.01</v>
      </c>
      <c r="O9" s="22">
        <v>0.01</v>
      </c>
      <c r="P9" s="21">
        <v>1</v>
      </c>
      <c r="Q9" s="20">
        <v>1</v>
      </c>
      <c r="R9" s="21">
        <v>1</v>
      </c>
      <c r="S9" s="10">
        <f t="shared" ca="1" si="4"/>
        <v>0</v>
      </c>
      <c r="T9" s="19">
        <f t="shared" ca="1" si="5"/>
        <v>0</v>
      </c>
      <c r="U9" s="18">
        <f t="shared" ca="1" si="6"/>
        <v>0</v>
      </c>
      <c r="V9" s="19">
        <f t="shared" ca="1" si="7"/>
        <v>0</v>
      </c>
      <c r="W9" s="18">
        <f t="shared" ca="1" si="8"/>
        <v>0</v>
      </c>
      <c r="X9" s="19">
        <f t="shared" si="9"/>
        <v>0</v>
      </c>
      <c r="Y9" s="18">
        <f t="shared" si="10"/>
        <v>0</v>
      </c>
      <c r="Z9" s="12">
        <v>45463</v>
      </c>
      <c r="AA9" s="12">
        <v>45463</v>
      </c>
      <c r="AB9" s="12">
        <f t="shared" si="11"/>
        <v>45463</v>
      </c>
      <c r="AC9" s="11">
        <f t="shared" si="28"/>
        <v>45463</v>
      </c>
      <c r="AD9" s="12">
        <v>45470</v>
      </c>
      <c r="AE9" s="12">
        <v>45468</v>
      </c>
      <c r="AF9" s="12">
        <f t="shared" si="12"/>
        <v>45468</v>
      </c>
      <c r="AG9" s="11">
        <f t="shared" si="29"/>
        <v>45468</v>
      </c>
      <c r="AH9" s="12">
        <v>45505</v>
      </c>
      <c r="AI9" s="12">
        <v>45516</v>
      </c>
      <c r="AJ9" s="12">
        <f t="shared" si="13"/>
        <v>45516</v>
      </c>
      <c r="AK9" s="11">
        <v>45516</v>
      </c>
      <c r="AL9" s="12">
        <v>45540</v>
      </c>
      <c r="AM9" s="12">
        <v>45519</v>
      </c>
      <c r="AN9" s="12">
        <f t="shared" si="14"/>
        <v>45519</v>
      </c>
      <c r="AO9" s="11">
        <v>45519</v>
      </c>
      <c r="AP9" s="12">
        <v>45543</v>
      </c>
      <c r="AQ9" s="12">
        <v>45521</v>
      </c>
      <c r="AR9" s="12">
        <f t="shared" si="15"/>
        <v>45521</v>
      </c>
      <c r="AS9" s="11">
        <v>45521</v>
      </c>
      <c r="AT9" s="12">
        <v>45554</v>
      </c>
      <c r="AU9" s="12">
        <v>45528</v>
      </c>
      <c r="AV9" s="12">
        <f t="shared" si="16"/>
        <v>45528</v>
      </c>
      <c r="AW9" s="11">
        <v>45528</v>
      </c>
      <c r="AX9" s="12">
        <v>45574</v>
      </c>
      <c r="AY9" s="12">
        <v>45537</v>
      </c>
      <c r="AZ9" s="12">
        <f t="shared" si="30"/>
        <v>45537</v>
      </c>
      <c r="BA9" s="11">
        <v>45537</v>
      </c>
      <c r="BB9" s="12">
        <f t="shared" si="17"/>
        <v>45577</v>
      </c>
      <c r="BC9" s="12">
        <v>45540</v>
      </c>
      <c r="BD9" s="12">
        <f t="shared" si="31"/>
        <v>45540</v>
      </c>
      <c r="BE9" s="11">
        <f t="shared" si="32"/>
        <v>45540</v>
      </c>
      <c r="BF9" s="12">
        <f t="shared" si="18"/>
        <v>45589</v>
      </c>
      <c r="BG9" s="12">
        <v>45575</v>
      </c>
      <c r="BH9" s="12">
        <f t="shared" si="33"/>
        <v>45575</v>
      </c>
      <c r="BI9" s="11">
        <v>45575</v>
      </c>
      <c r="BJ9" s="12">
        <f t="shared" si="19"/>
        <v>45595</v>
      </c>
      <c r="BK9" s="12">
        <v>45595</v>
      </c>
      <c r="BL9" s="12">
        <f t="shared" si="34"/>
        <v>45595</v>
      </c>
      <c r="BM9" s="16">
        <v>45595</v>
      </c>
      <c r="BN9" s="12">
        <v>45634</v>
      </c>
      <c r="BO9" s="12">
        <v>45597</v>
      </c>
      <c r="BP9" s="12">
        <f t="shared" si="35"/>
        <v>45597</v>
      </c>
      <c r="BQ9" s="11">
        <v>45597</v>
      </c>
      <c r="BR9" s="12">
        <f t="shared" si="20"/>
        <v>45774</v>
      </c>
      <c r="BS9" s="12">
        <v>45786</v>
      </c>
      <c r="BT9" s="12">
        <v>45786</v>
      </c>
      <c r="BU9" s="11">
        <v>45786</v>
      </c>
      <c r="BV9" s="15">
        <f t="shared" si="21"/>
        <v>210</v>
      </c>
      <c r="BW9" s="12">
        <v>45784</v>
      </c>
      <c r="BX9" s="12">
        <v>45868</v>
      </c>
      <c r="BY9" s="12">
        <v>45868</v>
      </c>
      <c r="BZ9" s="11">
        <v>45868</v>
      </c>
      <c r="CA9" s="12">
        <f t="shared" si="22"/>
        <v>45799</v>
      </c>
      <c r="CB9" s="12">
        <v>45878</v>
      </c>
      <c r="CC9" s="12">
        <f t="shared" si="36"/>
        <v>45878</v>
      </c>
      <c r="CD9" s="11">
        <v>45878</v>
      </c>
      <c r="CE9" s="12">
        <f t="shared" si="23"/>
        <v>45826</v>
      </c>
      <c r="CF9" s="12">
        <v>45928</v>
      </c>
      <c r="CG9" s="12">
        <v>45928</v>
      </c>
      <c r="CH9" s="14">
        <f t="shared" si="24"/>
        <v>391</v>
      </c>
      <c r="CI9" s="11">
        <v>45928</v>
      </c>
      <c r="CJ9" s="12">
        <v>45829</v>
      </c>
      <c r="CK9" s="12">
        <v>46021</v>
      </c>
      <c r="CL9" s="12">
        <v>46052</v>
      </c>
      <c r="CM9" s="11">
        <v>46052</v>
      </c>
      <c r="CN9" s="12">
        <v>46009</v>
      </c>
      <c r="CO9" s="12">
        <v>46081</v>
      </c>
      <c r="CP9" s="12">
        <v>45975</v>
      </c>
      <c r="CQ9" s="11">
        <v>45975</v>
      </c>
      <c r="CR9" s="28"/>
      <c r="CS9" s="28"/>
      <c r="CT9" s="1">
        <f t="shared" si="25"/>
        <v>0</v>
      </c>
      <c r="CU9" s="1">
        <f t="shared" si="25"/>
        <v>0</v>
      </c>
      <c r="CV9" s="1">
        <f t="shared" si="25"/>
        <v>0</v>
      </c>
      <c r="CW9" s="1">
        <f t="shared" si="25"/>
        <v>0</v>
      </c>
      <c r="CX9" s="1">
        <f t="shared" si="25"/>
        <v>0</v>
      </c>
      <c r="CY9" s="1">
        <f t="shared" si="25"/>
        <v>0</v>
      </c>
      <c r="CZ9" s="1">
        <f t="shared" si="25"/>
        <v>0</v>
      </c>
      <c r="DA9" s="1">
        <f t="shared" si="25"/>
        <v>0</v>
      </c>
      <c r="DB9" s="1">
        <f t="shared" si="25"/>
        <v>0</v>
      </c>
      <c r="DC9" s="1">
        <f t="shared" si="25"/>
        <v>0</v>
      </c>
      <c r="DD9" s="1">
        <f t="shared" si="26"/>
        <v>0</v>
      </c>
      <c r="DE9" s="1">
        <f t="shared" si="26"/>
        <v>0</v>
      </c>
      <c r="DF9" s="1">
        <f t="shared" si="26"/>
        <v>0</v>
      </c>
      <c r="DG9" s="1">
        <f t="shared" si="26"/>
        <v>0</v>
      </c>
      <c r="DH9" s="1">
        <f t="shared" si="26"/>
        <v>0</v>
      </c>
      <c r="DI9" s="1">
        <f t="shared" si="26"/>
        <v>0</v>
      </c>
      <c r="DJ9" s="1">
        <f t="shared" si="26"/>
        <v>0</v>
      </c>
      <c r="DK9" s="1">
        <f t="shared" si="26"/>
        <v>0</v>
      </c>
      <c r="DL9" s="1">
        <f t="shared" si="26"/>
        <v>0</v>
      </c>
      <c r="DM9" s="1">
        <f t="shared" si="26"/>
        <v>0</v>
      </c>
      <c r="DN9" s="1">
        <f t="shared" si="27"/>
        <v>0</v>
      </c>
      <c r="DO9" s="1">
        <f t="shared" si="27"/>
        <v>0</v>
      </c>
      <c r="DP9" s="1">
        <f t="shared" si="27"/>
        <v>0</v>
      </c>
      <c r="DQ9" s="1">
        <f t="shared" si="27"/>
        <v>0</v>
      </c>
      <c r="DR9" s="1">
        <f t="shared" si="27"/>
        <v>0</v>
      </c>
      <c r="DS9" s="1">
        <f t="shared" si="27"/>
        <v>0</v>
      </c>
      <c r="DT9" s="1">
        <f t="shared" si="27"/>
        <v>0</v>
      </c>
    </row>
    <row r="10" spans="1:125">
      <c r="A10" s="27" t="s">
        <v>202</v>
      </c>
      <c r="B10" s="26" t="str">
        <f t="shared" si="2"/>
        <v>7-30</v>
      </c>
      <c r="C10" s="26" t="s">
        <v>200</v>
      </c>
      <c r="D10" s="25" t="str">
        <f t="shared" si="3"/>
        <v>00</v>
      </c>
      <c r="E10" s="24" t="s">
        <v>197</v>
      </c>
      <c r="F10" s="24" t="s">
        <v>193</v>
      </c>
      <c r="G10" s="24" t="s">
        <v>192</v>
      </c>
      <c r="H10" s="24" t="s">
        <v>180</v>
      </c>
      <c r="I10" s="24" t="s">
        <v>188</v>
      </c>
      <c r="J10" s="24" t="s">
        <v>21</v>
      </c>
      <c r="K10" s="29" t="s">
        <v>185</v>
      </c>
      <c r="L10" s="31">
        <v>7</v>
      </c>
      <c r="M10" s="18"/>
      <c r="N10" s="22">
        <v>0.01</v>
      </c>
      <c r="O10" s="22">
        <v>0.01</v>
      </c>
      <c r="P10" s="21">
        <v>1</v>
      </c>
      <c r="Q10" s="20">
        <v>1</v>
      </c>
      <c r="R10" s="21">
        <v>1</v>
      </c>
      <c r="S10" s="10">
        <f t="shared" ca="1" si="4"/>
        <v>0</v>
      </c>
      <c r="T10" s="19">
        <f t="shared" ca="1" si="5"/>
        <v>0</v>
      </c>
      <c r="U10" s="18">
        <f t="shared" ca="1" si="6"/>
        <v>0</v>
      </c>
      <c r="V10" s="19">
        <f t="shared" ca="1" si="7"/>
        <v>0</v>
      </c>
      <c r="W10" s="18">
        <f t="shared" ca="1" si="8"/>
        <v>0</v>
      </c>
      <c r="X10" s="19">
        <f t="shared" si="9"/>
        <v>0</v>
      </c>
      <c r="Y10" s="18">
        <f t="shared" si="10"/>
        <v>0</v>
      </c>
      <c r="Z10" s="12">
        <v>45463</v>
      </c>
      <c r="AA10" s="12">
        <v>45463</v>
      </c>
      <c r="AB10" s="12">
        <f t="shared" si="11"/>
        <v>45463</v>
      </c>
      <c r="AC10" s="11">
        <f t="shared" si="28"/>
        <v>45463</v>
      </c>
      <c r="AD10" s="12">
        <v>45470</v>
      </c>
      <c r="AE10" s="12">
        <v>45468</v>
      </c>
      <c r="AF10" s="12">
        <f t="shared" si="12"/>
        <v>45468</v>
      </c>
      <c r="AG10" s="11">
        <f t="shared" si="29"/>
        <v>45468</v>
      </c>
      <c r="AH10" s="12">
        <v>45505</v>
      </c>
      <c r="AI10" s="12">
        <v>45516</v>
      </c>
      <c r="AJ10" s="12">
        <f t="shared" si="13"/>
        <v>45516</v>
      </c>
      <c r="AK10" s="11">
        <v>45516</v>
      </c>
      <c r="AL10" s="12">
        <v>45540</v>
      </c>
      <c r="AM10" s="12">
        <v>45519</v>
      </c>
      <c r="AN10" s="12">
        <f t="shared" si="14"/>
        <v>45519</v>
      </c>
      <c r="AO10" s="11">
        <v>45519</v>
      </c>
      <c r="AP10" s="12">
        <v>45543</v>
      </c>
      <c r="AQ10" s="12">
        <v>45521</v>
      </c>
      <c r="AR10" s="12">
        <f t="shared" si="15"/>
        <v>45521</v>
      </c>
      <c r="AS10" s="11">
        <v>45521</v>
      </c>
      <c r="AT10" s="12">
        <v>45554</v>
      </c>
      <c r="AU10" s="12">
        <v>45528</v>
      </c>
      <c r="AV10" s="12">
        <f t="shared" si="16"/>
        <v>45528</v>
      </c>
      <c r="AW10" s="11">
        <v>45528</v>
      </c>
      <c r="AX10" s="12">
        <v>45574</v>
      </c>
      <c r="AY10" s="12">
        <v>45537</v>
      </c>
      <c r="AZ10" s="12">
        <f t="shared" si="30"/>
        <v>45537</v>
      </c>
      <c r="BA10" s="11">
        <v>45537</v>
      </c>
      <c r="BB10" s="12">
        <f t="shared" si="17"/>
        <v>45577</v>
      </c>
      <c r="BC10" s="12">
        <v>45540</v>
      </c>
      <c r="BD10" s="12">
        <f t="shared" si="31"/>
        <v>45540</v>
      </c>
      <c r="BE10" s="11">
        <f t="shared" si="32"/>
        <v>45540</v>
      </c>
      <c r="BF10" s="12">
        <f t="shared" si="18"/>
        <v>45589</v>
      </c>
      <c r="BG10" s="12">
        <v>45575</v>
      </c>
      <c r="BH10" s="12">
        <f t="shared" si="33"/>
        <v>45575</v>
      </c>
      <c r="BI10" s="11">
        <v>45575</v>
      </c>
      <c r="BJ10" s="12">
        <f t="shared" si="19"/>
        <v>45595</v>
      </c>
      <c r="BK10" s="12">
        <v>45595</v>
      </c>
      <c r="BL10" s="12">
        <f t="shared" si="34"/>
        <v>45595</v>
      </c>
      <c r="BM10" s="16">
        <v>45595</v>
      </c>
      <c r="BN10" s="12">
        <v>45634</v>
      </c>
      <c r="BO10" s="12">
        <v>45597</v>
      </c>
      <c r="BP10" s="12">
        <f t="shared" si="35"/>
        <v>45597</v>
      </c>
      <c r="BQ10" s="11">
        <v>45597</v>
      </c>
      <c r="BR10" s="12">
        <f t="shared" si="20"/>
        <v>45774</v>
      </c>
      <c r="BS10" s="12">
        <v>45828</v>
      </c>
      <c r="BT10" s="12">
        <v>45828</v>
      </c>
      <c r="BU10" s="11">
        <v>45828</v>
      </c>
      <c r="BV10" s="15">
        <f t="shared" si="21"/>
        <v>210</v>
      </c>
      <c r="BW10" s="12">
        <v>45784</v>
      </c>
      <c r="BX10" s="12">
        <v>45868</v>
      </c>
      <c r="BY10" s="12">
        <v>45868</v>
      </c>
      <c r="BZ10" s="11">
        <v>45868</v>
      </c>
      <c r="CA10" s="12">
        <f t="shared" si="22"/>
        <v>45799</v>
      </c>
      <c r="CB10" s="12">
        <v>45878</v>
      </c>
      <c r="CC10" s="12">
        <f t="shared" si="36"/>
        <v>45878</v>
      </c>
      <c r="CD10" s="11">
        <v>45878</v>
      </c>
      <c r="CE10" s="12">
        <f t="shared" si="23"/>
        <v>45826</v>
      </c>
      <c r="CF10" s="12">
        <v>45930</v>
      </c>
      <c r="CG10" s="12">
        <v>45930</v>
      </c>
      <c r="CH10" s="14">
        <f t="shared" si="24"/>
        <v>393</v>
      </c>
      <c r="CI10" s="11">
        <v>45930</v>
      </c>
      <c r="CJ10" s="12">
        <v>45829</v>
      </c>
      <c r="CK10" s="12">
        <v>46021</v>
      </c>
      <c r="CL10" s="12">
        <v>46052</v>
      </c>
      <c r="CM10" s="11">
        <v>46052</v>
      </c>
      <c r="CN10" s="12">
        <v>46009</v>
      </c>
      <c r="CO10" s="12">
        <v>46081</v>
      </c>
      <c r="CP10" s="12">
        <v>45975</v>
      </c>
      <c r="CQ10" s="11">
        <v>45975</v>
      </c>
      <c r="CR10" s="28"/>
      <c r="CS10" s="28"/>
      <c r="CT10" s="1">
        <f t="shared" si="25"/>
        <v>0</v>
      </c>
      <c r="CU10" s="1">
        <f t="shared" si="25"/>
        <v>0</v>
      </c>
      <c r="CV10" s="1">
        <f t="shared" si="25"/>
        <v>0</v>
      </c>
      <c r="CW10" s="1">
        <f t="shared" si="25"/>
        <v>0</v>
      </c>
      <c r="CX10" s="1">
        <f t="shared" si="25"/>
        <v>0</v>
      </c>
      <c r="CY10" s="1">
        <f t="shared" si="25"/>
        <v>0</v>
      </c>
      <c r="CZ10" s="1">
        <f t="shared" si="25"/>
        <v>0</v>
      </c>
      <c r="DA10" s="1">
        <f t="shared" si="25"/>
        <v>0</v>
      </c>
      <c r="DB10" s="1">
        <f t="shared" si="25"/>
        <v>0</v>
      </c>
      <c r="DC10" s="1">
        <f t="shared" si="25"/>
        <v>0</v>
      </c>
      <c r="DD10" s="1">
        <f t="shared" si="26"/>
        <v>0</v>
      </c>
      <c r="DE10" s="1">
        <f t="shared" si="26"/>
        <v>0</v>
      </c>
      <c r="DF10" s="1">
        <f t="shared" si="26"/>
        <v>0</v>
      </c>
      <c r="DG10" s="1">
        <f t="shared" si="26"/>
        <v>0</v>
      </c>
      <c r="DH10" s="1">
        <f t="shared" si="26"/>
        <v>0</v>
      </c>
      <c r="DI10" s="1">
        <f t="shared" si="26"/>
        <v>0</v>
      </c>
      <c r="DJ10" s="1">
        <f t="shared" si="26"/>
        <v>0</v>
      </c>
      <c r="DK10" s="1">
        <f t="shared" si="26"/>
        <v>0</v>
      </c>
      <c r="DL10" s="1">
        <f t="shared" si="26"/>
        <v>0</v>
      </c>
      <c r="DM10" s="1">
        <f t="shared" si="26"/>
        <v>0</v>
      </c>
      <c r="DN10" s="1">
        <f t="shared" si="27"/>
        <v>0</v>
      </c>
      <c r="DO10" s="1">
        <f t="shared" si="27"/>
        <v>0</v>
      </c>
      <c r="DP10" s="1">
        <f t="shared" si="27"/>
        <v>0</v>
      </c>
      <c r="DQ10" s="1">
        <f t="shared" si="27"/>
        <v>0</v>
      </c>
      <c r="DR10" s="1">
        <f t="shared" si="27"/>
        <v>0</v>
      </c>
      <c r="DS10" s="1">
        <f t="shared" si="27"/>
        <v>0</v>
      </c>
      <c r="DT10" s="1">
        <f t="shared" si="27"/>
        <v>0</v>
      </c>
    </row>
    <row r="11" spans="1:125">
      <c r="A11" s="27" t="s">
        <v>202</v>
      </c>
      <c r="B11" s="26" t="str">
        <f t="shared" si="2"/>
        <v>7-30</v>
      </c>
      <c r="C11" s="26" t="s">
        <v>200</v>
      </c>
      <c r="D11" s="25" t="str">
        <f t="shared" si="3"/>
        <v>00</v>
      </c>
      <c r="E11" s="24" t="s">
        <v>197</v>
      </c>
      <c r="F11" s="24" t="s">
        <v>193</v>
      </c>
      <c r="G11" s="24" t="s">
        <v>192</v>
      </c>
      <c r="H11" s="24" t="s">
        <v>179</v>
      </c>
      <c r="I11" s="13" t="s">
        <v>187</v>
      </c>
      <c r="J11" s="24" t="s">
        <v>20</v>
      </c>
      <c r="K11" s="29" t="s">
        <v>185</v>
      </c>
      <c r="L11" s="31">
        <v>28</v>
      </c>
      <c r="M11" s="18"/>
      <c r="N11" s="22">
        <v>0.01</v>
      </c>
      <c r="O11" s="22">
        <v>0.01</v>
      </c>
      <c r="P11" s="21">
        <v>1</v>
      </c>
      <c r="Q11" s="20">
        <v>1</v>
      </c>
      <c r="R11" s="21">
        <v>1</v>
      </c>
      <c r="S11" s="10">
        <f t="shared" ca="1" si="4"/>
        <v>0</v>
      </c>
      <c r="T11" s="19">
        <f t="shared" ca="1" si="5"/>
        <v>0</v>
      </c>
      <c r="U11" s="18">
        <f t="shared" ca="1" si="6"/>
        <v>0</v>
      </c>
      <c r="V11" s="19">
        <f t="shared" ca="1" si="7"/>
        <v>0</v>
      </c>
      <c r="W11" s="18">
        <f t="shared" ca="1" si="8"/>
        <v>0</v>
      </c>
      <c r="X11" s="19">
        <f t="shared" si="9"/>
        <v>0</v>
      </c>
      <c r="Y11" s="18">
        <f t="shared" si="10"/>
        <v>0</v>
      </c>
      <c r="Z11" s="12">
        <v>45463</v>
      </c>
      <c r="AA11" s="12">
        <v>45463</v>
      </c>
      <c r="AB11" s="12">
        <f t="shared" si="11"/>
        <v>45463</v>
      </c>
      <c r="AC11" s="11">
        <f t="shared" si="28"/>
        <v>45463</v>
      </c>
      <c r="AD11" s="12">
        <v>45470</v>
      </c>
      <c r="AE11" s="12">
        <v>45468</v>
      </c>
      <c r="AF11" s="12">
        <f t="shared" si="12"/>
        <v>45468</v>
      </c>
      <c r="AG11" s="11">
        <f t="shared" si="29"/>
        <v>45468</v>
      </c>
      <c r="AH11" s="12">
        <v>45505</v>
      </c>
      <c r="AI11" s="12">
        <v>45516</v>
      </c>
      <c r="AJ11" s="12">
        <f t="shared" si="13"/>
        <v>45516</v>
      </c>
      <c r="AK11" s="11">
        <v>45516</v>
      </c>
      <c r="AL11" s="12">
        <v>45540</v>
      </c>
      <c r="AM11" s="12">
        <v>45519</v>
      </c>
      <c r="AN11" s="12">
        <f t="shared" si="14"/>
        <v>45519</v>
      </c>
      <c r="AO11" s="11">
        <v>45519</v>
      </c>
      <c r="AP11" s="12">
        <v>45543</v>
      </c>
      <c r="AQ11" s="12">
        <v>45521</v>
      </c>
      <c r="AR11" s="12">
        <f t="shared" si="15"/>
        <v>45521</v>
      </c>
      <c r="AS11" s="11">
        <v>45521</v>
      </c>
      <c r="AT11" s="12">
        <v>45554</v>
      </c>
      <c r="AU11" s="12">
        <v>45528</v>
      </c>
      <c r="AV11" s="12">
        <f t="shared" si="16"/>
        <v>45528</v>
      </c>
      <c r="AW11" s="11">
        <v>45528</v>
      </c>
      <c r="AX11" s="12">
        <v>45574</v>
      </c>
      <c r="AY11" s="12">
        <v>45537</v>
      </c>
      <c r="AZ11" s="12">
        <f t="shared" si="30"/>
        <v>45537</v>
      </c>
      <c r="BA11" s="11">
        <v>45537</v>
      </c>
      <c r="BB11" s="12">
        <f t="shared" si="17"/>
        <v>45577</v>
      </c>
      <c r="BC11" s="12">
        <v>45540</v>
      </c>
      <c r="BD11" s="12">
        <f t="shared" si="31"/>
        <v>45540</v>
      </c>
      <c r="BE11" s="11">
        <f t="shared" si="32"/>
        <v>45540</v>
      </c>
      <c r="BF11" s="12">
        <f t="shared" si="18"/>
        <v>45589</v>
      </c>
      <c r="BG11" s="12">
        <v>45575</v>
      </c>
      <c r="BH11" s="12">
        <f t="shared" si="33"/>
        <v>45575</v>
      </c>
      <c r="BI11" s="11">
        <v>45575</v>
      </c>
      <c r="BJ11" s="12">
        <f t="shared" si="19"/>
        <v>45595</v>
      </c>
      <c r="BK11" s="12">
        <v>45595</v>
      </c>
      <c r="BL11" s="12">
        <f t="shared" si="34"/>
        <v>45595</v>
      </c>
      <c r="BM11" s="16">
        <v>45595</v>
      </c>
      <c r="BN11" s="12">
        <v>45634</v>
      </c>
      <c r="BO11" s="12">
        <v>45597</v>
      </c>
      <c r="BP11" s="12">
        <f t="shared" si="35"/>
        <v>45597</v>
      </c>
      <c r="BQ11" s="11">
        <v>45597</v>
      </c>
      <c r="BR11" s="12">
        <f t="shared" si="20"/>
        <v>45774</v>
      </c>
      <c r="BS11" s="12">
        <v>45786</v>
      </c>
      <c r="BT11" s="12">
        <v>45786</v>
      </c>
      <c r="BU11" s="11">
        <v>45786</v>
      </c>
      <c r="BV11" s="15">
        <f t="shared" si="21"/>
        <v>210</v>
      </c>
      <c r="BW11" s="12">
        <v>45784</v>
      </c>
      <c r="BX11" s="12">
        <v>45853</v>
      </c>
      <c r="BY11" s="12">
        <v>45853</v>
      </c>
      <c r="BZ11" s="11">
        <v>45853</v>
      </c>
      <c r="CA11" s="12">
        <f t="shared" si="22"/>
        <v>45799</v>
      </c>
      <c r="CB11" s="12">
        <v>45863</v>
      </c>
      <c r="CC11" s="12">
        <f t="shared" si="36"/>
        <v>45863</v>
      </c>
      <c r="CD11" s="11">
        <v>45863</v>
      </c>
      <c r="CE11" s="12">
        <f t="shared" si="23"/>
        <v>45826</v>
      </c>
      <c r="CF11" s="12">
        <v>45930</v>
      </c>
      <c r="CG11" s="12">
        <v>45930</v>
      </c>
      <c r="CH11" s="14">
        <f t="shared" si="24"/>
        <v>393</v>
      </c>
      <c r="CI11" s="11">
        <v>45930</v>
      </c>
      <c r="CJ11" s="12">
        <v>45829</v>
      </c>
      <c r="CK11" s="12">
        <v>46021</v>
      </c>
      <c r="CL11" s="12">
        <v>46052</v>
      </c>
      <c r="CM11" s="11">
        <v>46052</v>
      </c>
      <c r="CN11" s="12">
        <v>46009</v>
      </c>
      <c r="CO11" s="12">
        <v>46081</v>
      </c>
      <c r="CP11" s="12">
        <v>45975</v>
      </c>
      <c r="CQ11" s="11">
        <v>45975</v>
      </c>
      <c r="CR11" s="28"/>
      <c r="CS11" s="28"/>
      <c r="CT11" s="1">
        <f t="shared" si="25"/>
        <v>0</v>
      </c>
      <c r="CU11" s="1">
        <f t="shared" si="25"/>
        <v>0</v>
      </c>
      <c r="CV11" s="1">
        <f t="shared" si="25"/>
        <v>0</v>
      </c>
      <c r="CW11" s="1">
        <f t="shared" si="25"/>
        <v>0</v>
      </c>
      <c r="CX11" s="1">
        <f t="shared" si="25"/>
        <v>0</v>
      </c>
      <c r="CY11" s="1">
        <f t="shared" si="25"/>
        <v>0</v>
      </c>
      <c r="CZ11" s="1">
        <f t="shared" si="25"/>
        <v>0</v>
      </c>
      <c r="DA11" s="1">
        <f t="shared" si="25"/>
        <v>0</v>
      </c>
      <c r="DB11" s="1">
        <f t="shared" si="25"/>
        <v>0</v>
      </c>
      <c r="DC11" s="1">
        <f t="shared" si="25"/>
        <v>0</v>
      </c>
      <c r="DD11" s="1">
        <f t="shared" si="26"/>
        <v>0</v>
      </c>
      <c r="DE11" s="1">
        <f t="shared" si="26"/>
        <v>0</v>
      </c>
      <c r="DF11" s="1">
        <f t="shared" si="26"/>
        <v>0</v>
      </c>
      <c r="DG11" s="1">
        <f t="shared" si="26"/>
        <v>0</v>
      </c>
      <c r="DH11" s="1">
        <f t="shared" si="26"/>
        <v>0</v>
      </c>
      <c r="DI11" s="1">
        <f t="shared" si="26"/>
        <v>0</v>
      </c>
      <c r="DJ11" s="1">
        <f t="shared" si="26"/>
        <v>0</v>
      </c>
      <c r="DK11" s="1">
        <f t="shared" si="26"/>
        <v>0</v>
      </c>
      <c r="DL11" s="1">
        <f t="shared" si="26"/>
        <v>0</v>
      </c>
      <c r="DM11" s="1">
        <f t="shared" si="26"/>
        <v>0</v>
      </c>
      <c r="DN11" s="1">
        <f t="shared" si="27"/>
        <v>0</v>
      </c>
      <c r="DO11" s="1">
        <f t="shared" si="27"/>
        <v>0</v>
      </c>
      <c r="DP11" s="1">
        <f t="shared" si="27"/>
        <v>0</v>
      </c>
      <c r="DQ11" s="1">
        <f t="shared" si="27"/>
        <v>0</v>
      </c>
      <c r="DR11" s="1">
        <f t="shared" si="27"/>
        <v>0</v>
      </c>
      <c r="DS11" s="1">
        <f t="shared" si="27"/>
        <v>0</v>
      </c>
      <c r="DT11" s="1">
        <f t="shared" si="27"/>
        <v>0</v>
      </c>
    </row>
    <row r="12" spans="1:125">
      <c r="A12" s="27" t="s">
        <v>202</v>
      </c>
      <c r="B12" s="26" t="str">
        <f t="shared" si="2"/>
        <v>7-30</v>
      </c>
      <c r="C12" s="26" t="s">
        <v>200</v>
      </c>
      <c r="D12" s="25" t="str">
        <f t="shared" si="3"/>
        <v>00</v>
      </c>
      <c r="E12" s="24" t="s">
        <v>197</v>
      </c>
      <c r="F12" s="24" t="s">
        <v>193</v>
      </c>
      <c r="G12" s="24" t="s">
        <v>192</v>
      </c>
      <c r="H12" s="24" t="s">
        <v>181</v>
      </c>
      <c r="I12" s="13" t="s">
        <v>187</v>
      </c>
      <c r="J12" s="24" t="s">
        <v>19</v>
      </c>
      <c r="K12" s="24" t="s">
        <v>182</v>
      </c>
      <c r="L12" s="31">
        <v>14</v>
      </c>
      <c r="M12" s="18"/>
      <c r="N12" s="22">
        <v>0.01</v>
      </c>
      <c r="O12" s="22">
        <v>0.01</v>
      </c>
      <c r="P12" s="21">
        <v>1</v>
      </c>
      <c r="Q12" s="20">
        <v>1</v>
      </c>
      <c r="R12" s="21">
        <v>1</v>
      </c>
      <c r="S12" s="10">
        <f t="shared" ca="1" si="4"/>
        <v>0</v>
      </c>
      <c r="T12" s="19">
        <f t="shared" ca="1" si="5"/>
        <v>0</v>
      </c>
      <c r="U12" s="18">
        <f t="shared" ca="1" si="6"/>
        <v>0</v>
      </c>
      <c r="V12" s="19">
        <f t="shared" ca="1" si="7"/>
        <v>0</v>
      </c>
      <c r="W12" s="18">
        <f t="shared" ca="1" si="8"/>
        <v>0</v>
      </c>
      <c r="X12" s="19">
        <f t="shared" si="9"/>
        <v>0</v>
      </c>
      <c r="Y12" s="18">
        <f t="shared" si="10"/>
        <v>0</v>
      </c>
      <c r="Z12" s="12">
        <v>45463</v>
      </c>
      <c r="AA12" s="12">
        <v>45463</v>
      </c>
      <c r="AB12" s="12">
        <f t="shared" si="11"/>
        <v>45463</v>
      </c>
      <c r="AC12" s="11">
        <f t="shared" si="28"/>
        <v>45463</v>
      </c>
      <c r="AD12" s="12">
        <v>45470</v>
      </c>
      <c r="AE12" s="12">
        <v>45468</v>
      </c>
      <c r="AF12" s="12">
        <f t="shared" si="12"/>
        <v>45468</v>
      </c>
      <c r="AG12" s="11">
        <f t="shared" si="29"/>
        <v>45468</v>
      </c>
      <c r="AH12" s="12">
        <v>45505</v>
      </c>
      <c r="AI12" s="12">
        <v>45516</v>
      </c>
      <c r="AJ12" s="12">
        <f t="shared" si="13"/>
        <v>45516</v>
      </c>
      <c r="AK12" s="11">
        <v>45516</v>
      </c>
      <c r="AL12" s="12">
        <v>45540</v>
      </c>
      <c r="AM12" s="12">
        <v>45519</v>
      </c>
      <c r="AN12" s="12">
        <f t="shared" si="14"/>
        <v>45519</v>
      </c>
      <c r="AO12" s="11">
        <v>45519</v>
      </c>
      <c r="AP12" s="12">
        <v>45543</v>
      </c>
      <c r="AQ12" s="12">
        <v>45521</v>
      </c>
      <c r="AR12" s="12">
        <f t="shared" si="15"/>
        <v>45521</v>
      </c>
      <c r="AS12" s="11">
        <v>45521</v>
      </c>
      <c r="AT12" s="12">
        <v>45554</v>
      </c>
      <c r="AU12" s="12">
        <v>45528</v>
      </c>
      <c r="AV12" s="12">
        <f t="shared" si="16"/>
        <v>45528</v>
      </c>
      <c r="AW12" s="11">
        <v>45528</v>
      </c>
      <c r="AX12" s="12">
        <v>45574</v>
      </c>
      <c r="AY12" s="12">
        <v>45537</v>
      </c>
      <c r="AZ12" s="12">
        <f t="shared" si="30"/>
        <v>45537</v>
      </c>
      <c r="BA12" s="11">
        <v>45537</v>
      </c>
      <c r="BB12" s="12">
        <f t="shared" si="17"/>
        <v>45577</v>
      </c>
      <c r="BC12" s="12">
        <v>45540</v>
      </c>
      <c r="BD12" s="12">
        <f t="shared" si="31"/>
        <v>45540</v>
      </c>
      <c r="BE12" s="11">
        <f t="shared" si="32"/>
        <v>45540</v>
      </c>
      <c r="BF12" s="12">
        <f t="shared" si="18"/>
        <v>45589</v>
      </c>
      <c r="BG12" s="12">
        <v>45575</v>
      </c>
      <c r="BH12" s="12">
        <f t="shared" si="33"/>
        <v>45575</v>
      </c>
      <c r="BI12" s="11">
        <v>45575</v>
      </c>
      <c r="BJ12" s="12">
        <f t="shared" si="19"/>
        <v>45595</v>
      </c>
      <c r="BK12" s="12">
        <v>45595</v>
      </c>
      <c r="BL12" s="12">
        <f t="shared" si="34"/>
        <v>45595</v>
      </c>
      <c r="BM12" s="16">
        <v>45595</v>
      </c>
      <c r="BN12" s="12">
        <v>45634</v>
      </c>
      <c r="BO12" s="12">
        <v>45597</v>
      </c>
      <c r="BP12" s="12">
        <f t="shared" si="35"/>
        <v>45597</v>
      </c>
      <c r="BQ12" s="11">
        <v>45597</v>
      </c>
      <c r="BR12" s="12">
        <f t="shared" si="20"/>
        <v>45774</v>
      </c>
      <c r="BS12" s="12">
        <v>45786</v>
      </c>
      <c r="BT12" s="12">
        <v>45786</v>
      </c>
      <c r="BU12" s="11">
        <v>45786</v>
      </c>
      <c r="BV12" s="15">
        <f t="shared" si="21"/>
        <v>210</v>
      </c>
      <c r="BW12" s="12">
        <v>45784</v>
      </c>
      <c r="BX12" s="12">
        <v>45868</v>
      </c>
      <c r="BY12" s="12">
        <v>45868</v>
      </c>
      <c r="BZ12" s="11">
        <v>45868</v>
      </c>
      <c r="CA12" s="12">
        <f t="shared" si="22"/>
        <v>45799</v>
      </c>
      <c r="CB12" s="12">
        <v>45878</v>
      </c>
      <c r="CC12" s="12">
        <f t="shared" si="36"/>
        <v>45878</v>
      </c>
      <c r="CD12" s="11">
        <v>45878</v>
      </c>
      <c r="CE12" s="12">
        <f t="shared" si="23"/>
        <v>45826</v>
      </c>
      <c r="CF12" s="12">
        <v>45927</v>
      </c>
      <c r="CG12" s="12">
        <v>45927</v>
      </c>
      <c r="CH12" s="14">
        <f t="shared" si="24"/>
        <v>390</v>
      </c>
      <c r="CI12" s="11">
        <v>45927</v>
      </c>
      <c r="CJ12" s="12">
        <v>45829</v>
      </c>
      <c r="CK12" s="12">
        <v>46021</v>
      </c>
      <c r="CL12" s="12">
        <v>46052</v>
      </c>
      <c r="CM12" s="11">
        <v>46052</v>
      </c>
      <c r="CN12" s="12">
        <v>46009</v>
      </c>
      <c r="CO12" s="12">
        <v>46081</v>
      </c>
      <c r="CP12" s="12">
        <v>45975</v>
      </c>
      <c r="CQ12" s="11">
        <v>45975</v>
      </c>
      <c r="CR12" s="28"/>
      <c r="CS12" s="28"/>
      <c r="CT12" s="1">
        <f t="shared" si="25"/>
        <v>0</v>
      </c>
      <c r="CU12" s="1">
        <f t="shared" si="25"/>
        <v>0</v>
      </c>
      <c r="CV12" s="1">
        <f t="shared" si="25"/>
        <v>0</v>
      </c>
      <c r="CW12" s="1">
        <f t="shared" si="25"/>
        <v>0</v>
      </c>
      <c r="CX12" s="1">
        <f t="shared" si="25"/>
        <v>0</v>
      </c>
      <c r="CY12" s="1">
        <f t="shared" si="25"/>
        <v>0</v>
      </c>
      <c r="CZ12" s="1">
        <f t="shared" si="25"/>
        <v>0</v>
      </c>
      <c r="DA12" s="1">
        <f t="shared" si="25"/>
        <v>0</v>
      </c>
      <c r="DB12" s="1">
        <f t="shared" si="25"/>
        <v>0</v>
      </c>
      <c r="DC12" s="1">
        <f t="shared" si="25"/>
        <v>0</v>
      </c>
      <c r="DD12" s="1">
        <f t="shared" si="26"/>
        <v>0</v>
      </c>
      <c r="DE12" s="1">
        <f t="shared" si="26"/>
        <v>0</v>
      </c>
      <c r="DF12" s="1">
        <f t="shared" si="26"/>
        <v>0</v>
      </c>
      <c r="DG12" s="1">
        <f t="shared" si="26"/>
        <v>0</v>
      </c>
      <c r="DH12" s="1">
        <f t="shared" si="26"/>
        <v>0</v>
      </c>
      <c r="DI12" s="1">
        <f t="shared" si="26"/>
        <v>0</v>
      </c>
      <c r="DJ12" s="1">
        <f t="shared" si="26"/>
        <v>0</v>
      </c>
      <c r="DK12" s="1">
        <f t="shared" si="26"/>
        <v>0</v>
      </c>
      <c r="DL12" s="1">
        <f t="shared" si="26"/>
        <v>0</v>
      </c>
      <c r="DM12" s="1">
        <f t="shared" si="26"/>
        <v>0</v>
      </c>
      <c r="DN12" s="1">
        <f t="shared" si="27"/>
        <v>0</v>
      </c>
      <c r="DO12" s="1">
        <f t="shared" si="27"/>
        <v>0</v>
      </c>
      <c r="DP12" s="1">
        <f t="shared" si="27"/>
        <v>0</v>
      </c>
      <c r="DQ12" s="1">
        <f t="shared" si="27"/>
        <v>0</v>
      </c>
      <c r="DR12" s="1">
        <f t="shared" si="27"/>
        <v>0</v>
      </c>
      <c r="DS12" s="1">
        <f t="shared" si="27"/>
        <v>0</v>
      </c>
      <c r="DT12" s="1">
        <f t="shared" si="27"/>
        <v>0</v>
      </c>
    </row>
    <row r="13" spans="1:125">
      <c r="A13" s="27" t="s">
        <v>202</v>
      </c>
      <c r="B13" s="26" t="str">
        <f t="shared" si="2"/>
        <v>7-30</v>
      </c>
      <c r="C13" s="26" t="s">
        <v>200</v>
      </c>
      <c r="D13" s="25" t="str">
        <f t="shared" si="3"/>
        <v>00</v>
      </c>
      <c r="E13" s="24" t="s">
        <v>197</v>
      </c>
      <c r="F13" s="24" t="s">
        <v>193</v>
      </c>
      <c r="G13" s="24" t="s">
        <v>191</v>
      </c>
      <c r="H13" s="24" t="s">
        <v>180</v>
      </c>
      <c r="I13" s="13" t="s">
        <v>187</v>
      </c>
      <c r="J13" s="24" t="s">
        <v>18</v>
      </c>
      <c r="K13" s="24" t="s">
        <v>183</v>
      </c>
      <c r="L13" s="31">
        <v>14</v>
      </c>
      <c r="M13" s="18"/>
      <c r="N13" s="22">
        <v>0.01</v>
      </c>
      <c r="O13" s="22">
        <v>0.01</v>
      </c>
      <c r="P13" s="21">
        <v>1</v>
      </c>
      <c r="Q13" s="20">
        <v>1</v>
      </c>
      <c r="R13" s="21">
        <v>1</v>
      </c>
      <c r="S13" s="10">
        <f t="shared" ca="1" si="4"/>
        <v>0</v>
      </c>
      <c r="T13" s="19">
        <f t="shared" ca="1" si="5"/>
        <v>0</v>
      </c>
      <c r="U13" s="18">
        <f t="shared" ca="1" si="6"/>
        <v>0</v>
      </c>
      <c r="V13" s="19">
        <f t="shared" ca="1" si="7"/>
        <v>0</v>
      </c>
      <c r="W13" s="18">
        <f t="shared" ca="1" si="8"/>
        <v>0</v>
      </c>
      <c r="X13" s="19">
        <f t="shared" si="9"/>
        <v>0</v>
      </c>
      <c r="Y13" s="18">
        <f t="shared" si="10"/>
        <v>0</v>
      </c>
      <c r="Z13" s="12">
        <v>45463</v>
      </c>
      <c r="AA13" s="12">
        <v>45463</v>
      </c>
      <c r="AB13" s="12">
        <f t="shared" si="11"/>
        <v>45463</v>
      </c>
      <c r="AC13" s="11">
        <f t="shared" si="28"/>
        <v>45463</v>
      </c>
      <c r="AD13" s="12">
        <v>45470</v>
      </c>
      <c r="AE13" s="12">
        <v>45468</v>
      </c>
      <c r="AF13" s="12">
        <f t="shared" si="12"/>
        <v>45468</v>
      </c>
      <c r="AG13" s="11">
        <f t="shared" si="29"/>
        <v>45468</v>
      </c>
      <c r="AH13" s="12">
        <v>45505</v>
      </c>
      <c r="AI13" s="12">
        <v>45516</v>
      </c>
      <c r="AJ13" s="12">
        <f t="shared" si="13"/>
        <v>45516</v>
      </c>
      <c r="AK13" s="11">
        <v>45516</v>
      </c>
      <c r="AL13" s="12">
        <v>45540</v>
      </c>
      <c r="AM13" s="12">
        <v>45519</v>
      </c>
      <c r="AN13" s="12">
        <f t="shared" si="14"/>
        <v>45519</v>
      </c>
      <c r="AO13" s="11">
        <v>45519</v>
      </c>
      <c r="AP13" s="12">
        <v>45543</v>
      </c>
      <c r="AQ13" s="12">
        <v>45521</v>
      </c>
      <c r="AR13" s="12">
        <f t="shared" si="15"/>
        <v>45521</v>
      </c>
      <c r="AS13" s="11">
        <v>45521</v>
      </c>
      <c r="AT13" s="12">
        <v>45554</v>
      </c>
      <c r="AU13" s="12">
        <v>45528</v>
      </c>
      <c r="AV13" s="12">
        <f t="shared" si="16"/>
        <v>45528</v>
      </c>
      <c r="AW13" s="11">
        <v>45528</v>
      </c>
      <c r="AX13" s="12">
        <v>45574</v>
      </c>
      <c r="AY13" s="12">
        <v>45537</v>
      </c>
      <c r="AZ13" s="12">
        <f t="shared" si="30"/>
        <v>45537</v>
      </c>
      <c r="BA13" s="11">
        <v>45537</v>
      </c>
      <c r="BB13" s="12">
        <f t="shared" si="17"/>
        <v>45577</v>
      </c>
      <c r="BC13" s="12">
        <v>45540</v>
      </c>
      <c r="BD13" s="12">
        <f t="shared" si="31"/>
        <v>45540</v>
      </c>
      <c r="BE13" s="11">
        <f t="shared" si="32"/>
        <v>45540</v>
      </c>
      <c r="BF13" s="12">
        <f t="shared" si="18"/>
        <v>45589</v>
      </c>
      <c r="BG13" s="12">
        <v>45575</v>
      </c>
      <c r="BH13" s="12">
        <f t="shared" si="33"/>
        <v>45575</v>
      </c>
      <c r="BI13" s="11">
        <v>45575</v>
      </c>
      <c r="BJ13" s="12">
        <f t="shared" si="19"/>
        <v>45595</v>
      </c>
      <c r="BK13" s="12">
        <v>45595</v>
      </c>
      <c r="BL13" s="12">
        <f t="shared" si="34"/>
        <v>45595</v>
      </c>
      <c r="BM13" s="16">
        <v>45595</v>
      </c>
      <c r="BN13" s="12">
        <v>45634</v>
      </c>
      <c r="BO13" s="12">
        <v>45597</v>
      </c>
      <c r="BP13" s="12">
        <f t="shared" si="35"/>
        <v>45597</v>
      </c>
      <c r="BQ13" s="11">
        <v>45597</v>
      </c>
      <c r="BR13" s="12">
        <f t="shared" si="20"/>
        <v>45774</v>
      </c>
      <c r="BS13" s="12">
        <v>45786</v>
      </c>
      <c r="BT13" s="12">
        <v>45786</v>
      </c>
      <c r="BU13" s="11">
        <v>45786</v>
      </c>
      <c r="BV13" s="15">
        <f t="shared" si="21"/>
        <v>210</v>
      </c>
      <c r="BW13" s="12">
        <v>45784</v>
      </c>
      <c r="BX13" s="12">
        <v>45853</v>
      </c>
      <c r="BY13" s="12">
        <v>45853</v>
      </c>
      <c r="BZ13" s="11">
        <v>45853</v>
      </c>
      <c r="CA13" s="12">
        <f t="shared" si="22"/>
        <v>45799</v>
      </c>
      <c r="CB13" s="12">
        <v>45863</v>
      </c>
      <c r="CC13" s="12">
        <f t="shared" si="36"/>
        <v>45863</v>
      </c>
      <c r="CD13" s="11">
        <v>45863</v>
      </c>
      <c r="CE13" s="12">
        <f t="shared" si="23"/>
        <v>45826</v>
      </c>
      <c r="CF13" s="12">
        <v>45945</v>
      </c>
      <c r="CG13" s="12">
        <v>45945</v>
      </c>
      <c r="CH13" s="14">
        <f t="shared" si="24"/>
        <v>408</v>
      </c>
      <c r="CI13" s="11">
        <v>45945</v>
      </c>
      <c r="CJ13" s="12">
        <v>45829</v>
      </c>
      <c r="CK13" s="12">
        <v>46015</v>
      </c>
      <c r="CL13" s="12">
        <v>46052</v>
      </c>
      <c r="CM13" s="11">
        <v>46052</v>
      </c>
      <c r="CN13" s="12">
        <v>46009</v>
      </c>
      <c r="CO13" s="12">
        <v>46075</v>
      </c>
      <c r="CP13" s="12">
        <v>45975</v>
      </c>
      <c r="CQ13" s="11">
        <v>45975</v>
      </c>
      <c r="CR13" s="28"/>
      <c r="CS13" s="28"/>
      <c r="CT13" s="1">
        <f t="shared" si="25"/>
        <v>0</v>
      </c>
      <c r="CU13" s="1">
        <f t="shared" si="25"/>
        <v>0</v>
      </c>
      <c r="CV13" s="1">
        <f t="shared" si="25"/>
        <v>0</v>
      </c>
      <c r="CW13" s="1">
        <f t="shared" si="25"/>
        <v>0</v>
      </c>
      <c r="CX13" s="1">
        <f t="shared" si="25"/>
        <v>0</v>
      </c>
      <c r="CY13" s="1">
        <f t="shared" si="25"/>
        <v>0</v>
      </c>
      <c r="CZ13" s="1">
        <f t="shared" si="25"/>
        <v>0</v>
      </c>
      <c r="DA13" s="1">
        <f t="shared" si="25"/>
        <v>0</v>
      </c>
      <c r="DB13" s="1">
        <f t="shared" si="25"/>
        <v>0</v>
      </c>
      <c r="DC13" s="1">
        <f t="shared" si="25"/>
        <v>0</v>
      </c>
      <c r="DD13" s="1">
        <f t="shared" si="26"/>
        <v>0</v>
      </c>
      <c r="DE13" s="1">
        <f t="shared" si="26"/>
        <v>0</v>
      </c>
      <c r="DF13" s="1">
        <f t="shared" si="26"/>
        <v>0</v>
      </c>
      <c r="DG13" s="1">
        <f t="shared" si="26"/>
        <v>0</v>
      </c>
      <c r="DH13" s="1">
        <f t="shared" si="26"/>
        <v>0</v>
      </c>
      <c r="DI13" s="1">
        <f t="shared" si="26"/>
        <v>0</v>
      </c>
      <c r="DJ13" s="1">
        <f t="shared" si="26"/>
        <v>0</v>
      </c>
      <c r="DK13" s="1">
        <f t="shared" si="26"/>
        <v>0</v>
      </c>
      <c r="DL13" s="1">
        <f t="shared" si="26"/>
        <v>0</v>
      </c>
      <c r="DM13" s="1">
        <f t="shared" si="26"/>
        <v>0</v>
      </c>
      <c r="DN13" s="1">
        <f t="shared" si="27"/>
        <v>0</v>
      </c>
      <c r="DO13" s="1">
        <f t="shared" si="27"/>
        <v>0</v>
      </c>
      <c r="DP13" s="1">
        <f t="shared" si="27"/>
        <v>0</v>
      </c>
      <c r="DQ13" s="1">
        <f t="shared" si="27"/>
        <v>0</v>
      </c>
      <c r="DR13" s="1">
        <f t="shared" si="27"/>
        <v>0</v>
      </c>
      <c r="DS13" s="1">
        <f t="shared" si="27"/>
        <v>0</v>
      </c>
      <c r="DT13" s="1">
        <f t="shared" si="27"/>
        <v>0</v>
      </c>
    </row>
    <row r="14" spans="1:125">
      <c r="A14" s="27" t="s">
        <v>202</v>
      </c>
      <c r="B14" s="26" t="str">
        <f t="shared" si="2"/>
        <v>7-30</v>
      </c>
      <c r="C14" s="26" t="s">
        <v>200</v>
      </c>
      <c r="D14" s="25" t="str">
        <f t="shared" si="3"/>
        <v>00</v>
      </c>
      <c r="E14" s="24" t="s">
        <v>197</v>
      </c>
      <c r="F14" s="24" t="s">
        <v>193</v>
      </c>
      <c r="G14" s="24" t="s">
        <v>191</v>
      </c>
      <c r="H14" s="24" t="s">
        <v>180</v>
      </c>
      <c r="I14" s="13" t="s">
        <v>187</v>
      </c>
      <c r="J14" s="24" t="s">
        <v>17</v>
      </c>
      <c r="K14" s="24" t="s">
        <v>182</v>
      </c>
      <c r="L14" s="31">
        <v>4</v>
      </c>
      <c r="M14" s="18"/>
      <c r="N14" s="22">
        <v>0.01</v>
      </c>
      <c r="O14" s="22">
        <v>0.01</v>
      </c>
      <c r="P14" s="21">
        <v>1</v>
      </c>
      <c r="Q14" s="20">
        <v>1</v>
      </c>
      <c r="R14" s="21">
        <v>1</v>
      </c>
      <c r="S14" s="10">
        <f t="shared" ca="1" si="4"/>
        <v>0</v>
      </c>
      <c r="T14" s="19">
        <f t="shared" ca="1" si="5"/>
        <v>0</v>
      </c>
      <c r="U14" s="18">
        <f t="shared" ca="1" si="6"/>
        <v>0</v>
      </c>
      <c r="V14" s="19">
        <f t="shared" ca="1" si="7"/>
        <v>0</v>
      </c>
      <c r="W14" s="18">
        <f t="shared" ca="1" si="8"/>
        <v>0</v>
      </c>
      <c r="X14" s="19">
        <f t="shared" si="9"/>
        <v>0</v>
      </c>
      <c r="Y14" s="18">
        <f t="shared" si="10"/>
        <v>0</v>
      </c>
      <c r="Z14" s="12">
        <v>45463</v>
      </c>
      <c r="AA14" s="12">
        <v>45463</v>
      </c>
      <c r="AB14" s="12">
        <f t="shared" si="11"/>
        <v>45463</v>
      </c>
      <c r="AC14" s="11">
        <f t="shared" si="28"/>
        <v>45463</v>
      </c>
      <c r="AD14" s="12">
        <v>45470</v>
      </c>
      <c r="AE14" s="12">
        <v>45468</v>
      </c>
      <c r="AF14" s="12">
        <f t="shared" si="12"/>
        <v>45468</v>
      </c>
      <c r="AG14" s="11">
        <f t="shared" si="29"/>
        <v>45468</v>
      </c>
      <c r="AH14" s="12">
        <v>45505</v>
      </c>
      <c r="AI14" s="12">
        <v>45516</v>
      </c>
      <c r="AJ14" s="12">
        <f t="shared" si="13"/>
        <v>45516</v>
      </c>
      <c r="AK14" s="11">
        <v>45516</v>
      </c>
      <c r="AL14" s="12">
        <v>45540</v>
      </c>
      <c r="AM14" s="12">
        <v>45519</v>
      </c>
      <c r="AN14" s="12">
        <f t="shared" si="14"/>
        <v>45519</v>
      </c>
      <c r="AO14" s="11">
        <v>45519</v>
      </c>
      <c r="AP14" s="12">
        <v>45543</v>
      </c>
      <c r="AQ14" s="12">
        <v>45521</v>
      </c>
      <c r="AR14" s="12">
        <f t="shared" si="15"/>
        <v>45521</v>
      </c>
      <c r="AS14" s="11">
        <v>45521</v>
      </c>
      <c r="AT14" s="12">
        <v>45554</v>
      </c>
      <c r="AU14" s="12">
        <v>45528</v>
      </c>
      <c r="AV14" s="12">
        <f t="shared" si="16"/>
        <v>45528</v>
      </c>
      <c r="AW14" s="11">
        <v>45528</v>
      </c>
      <c r="AX14" s="12">
        <v>45574</v>
      </c>
      <c r="AY14" s="12">
        <v>45537</v>
      </c>
      <c r="AZ14" s="12">
        <f t="shared" si="30"/>
        <v>45537</v>
      </c>
      <c r="BA14" s="11">
        <v>45537</v>
      </c>
      <c r="BB14" s="12">
        <f t="shared" si="17"/>
        <v>45577</v>
      </c>
      <c r="BC14" s="12">
        <v>45540</v>
      </c>
      <c r="BD14" s="12">
        <f t="shared" si="31"/>
        <v>45540</v>
      </c>
      <c r="BE14" s="11">
        <f t="shared" si="32"/>
        <v>45540</v>
      </c>
      <c r="BF14" s="12">
        <f t="shared" si="18"/>
        <v>45589</v>
      </c>
      <c r="BG14" s="12">
        <v>45575</v>
      </c>
      <c r="BH14" s="12">
        <f t="shared" si="33"/>
        <v>45575</v>
      </c>
      <c r="BI14" s="11">
        <v>45575</v>
      </c>
      <c r="BJ14" s="12">
        <f t="shared" si="19"/>
        <v>45595</v>
      </c>
      <c r="BK14" s="12">
        <v>45595</v>
      </c>
      <c r="BL14" s="12">
        <f t="shared" si="34"/>
        <v>45595</v>
      </c>
      <c r="BM14" s="16">
        <v>45595</v>
      </c>
      <c r="BN14" s="12">
        <v>45634</v>
      </c>
      <c r="BO14" s="12">
        <v>45597</v>
      </c>
      <c r="BP14" s="12">
        <f t="shared" si="35"/>
        <v>45597</v>
      </c>
      <c r="BQ14" s="11">
        <v>45597</v>
      </c>
      <c r="BR14" s="12">
        <f t="shared" si="20"/>
        <v>45774</v>
      </c>
      <c r="BS14" s="12">
        <v>45786</v>
      </c>
      <c r="BT14" s="12">
        <v>45786</v>
      </c>
      <c r="BU14" s="11">
        <v>45786</v>
      </c>
      <c r="BV14" s="15">
        <f t="shared" si="21"/>
        <v>210</v>
      </c>
      <c r="BW14" s="12">
        <v>45784</v>
      </c>
      <c r="BX14" s="12">
        <v>45866</v>
      </c>
      <c r="BY14" s="12">
        <v>45866</v>
      </c>
      <c r="BZ14" s="11">
        <v>45866</v>
      </c>
      <c r="CA14" s="12">
        <f t="shared" si="22"/>
        <v>45799</v>
      </c>
      <c r="CB14" s="12">
        <v>45876</v>
      </c>
      <c r="CC14" s="12">
        <f t="shared" si="36"/>
        <v>45876</v>
      </c>
      <c r="CD14" s="11">
        <v>45876</v>
      </c>
      <c r="CE14" s="12">
        <f t="shared" si="23"/>
        <v>45826</v>
      </c>
      <c r="CF14" s="12">
        <v>45930</v>
      </c>
      <c r="CG14" s="12">
        <v>45930</v>
      </c>
      <c r="CH14" s="14">
        <f t="shared" si="24"/>
        <v>393</v>
      </c>
      <c r="CI14" s="11">
        <v>45930</v>
      </c>
      <c r="CJ14" s="12">
        <v>45829</v>
      </c>
      <c r="CK14" s="12">
        <v>46021</v>
      </c>
      <c r="CL14" s="12">
        <v>46052</v>
      </c>
      <c r="CM14" s="11">
        <v>46052</v>
      </c>
      <c r="CN14" s="12">
        <v>46009</v>
      </c>
      <c r="CO14" s="12">
        <v>46081</v>
      </c>
      <c r="CP14" s="12">
        <v>45975</v>
      </c>
      <c r="CQ14" s="11">
        <v>45975</v>
      </c>
      <c r="CR14" s="28"/>
      <c r="CS14" s="28"/>
      <c r="CT14" s="1">
        <f t="shared" si="25"/>
        <v>0</v>
      </c>
      <c r="CU14" s="1">
        <f t="shared" si="25"/>
        <v>0</v>
      </c>
      <c r="CV14" s="1">
        <f t="shared" si="25"/>
        <v>0</v>
      </c>
      <c r="CW14" s="1">
        <f t="shared" si="25"/>
        <v>0</v>
      </c>
      <c r="CX14" s="1">
        <f t="shared" si="25"/>
        <v>0</v>
      </c>
      <c r="CY14" s="1">
        <f t="shared" si="25"/>
        <v>0</v>
      </c>
      <c r="CZ14" s="1">
        <f t="shared" si="25"/>
        <v>0</v>
      </c>
      <c r="DA14" s="1">
        <f t="shared" si="25"/>
        <v>0</v>
      </c>
      <c r="DB14" s="1">
        <f t="shared" si="25"/>
        <v>0</v>
      </c>
      <c r="DC14" s="1">
        <f t="shared" si="25"/>
        <v>0</v>
      </c>
      <c r="DD14" s="1">
        <f t="shared" si="26"/>
        <v>0</v>
      </c>
      <c r="DE14" s="1">
        <f t="shared" si="26"/>
        <v>0</v>
      </c>
      <c r="DF14" s="1">
        <f t="shared" si="26"/>
        <v>0</v>
      </c>
      <c r="DG14" s="1">
        <f t="shared" si="26"/>
        <v>0</v>
      </c>
      <c r="DH14" s="1">
        <f t="shared" si="26"/>
        <v>0</v>
      </c>
      <c r="DI14" s="1">
        <f t="shared" si="26"/>
        <v>0</v>
      </c>
      <c r="DJ14" s="1">
        <f t="shared" si="26"/>
        <v>0</v>
      </c>
      <c r="DK14" s="1">
        <f t="shared" si="26"/>
        <v>0</v>
      </c>
      <c r="DL14" s="1">
        <f t="shared" si="26"/>
        <v>0</v>
      </c>
      <c r="DM14" s="1">
        <f t="shared" si="26"/>
        <v>0</v>
      </c>
      <c r="DN14" s="1">
        <f t="shared" si="27"/>
        <v>0</v>
      </c>
      <c r="DO14" s="1">
        <f t="shared" si="27"/>
        <v>0</v>
      </c>
      <c r="DP14" s="1">
        <f t="shared" si="27"/>
        <v>0</v>
      </c>
      <c r="DQ14" s="1">
        <f t="shared" si="27"/>
        <v>0</v>
      </c>
      <c r="DR14" s="1">
        <f t="shared" si="27"/>
        <v>0</v>
      </c>
      <c r="DS14" s="1">
        <f t="shared" si="27"/>
        <v>0</v>
      </c>
      <c r="DT14" s="1">
        <f t="shared" si="27"/>
        <v>0</v>
      </c>
    </row>
    <row r="15" spans="1:125">
      <c r="A15" s="27" t="s">
        <v>202</v>
      </c>
      <c r="B15" s="26" t="str">
        <f t="shared" si="2"/>
        <v>7-30</v>
      </c>
      <c r="C15" s="26" t="s">
        <v>200</v>
      </c>
      <c r="D15" s="25" t="str">
        <f t="shared" si="3"/>
        <v>00</v>
      </c>
      <c r="E15" s="24" t="s">
        <v>197</v>
      </c>
      <c r="F15" s="24" t="s">
        <v>193</v>
      </c>
      <c r="G15" s="24" t="s">
        <v>191</v>
      </c>
      <c r="H15" s="24" t="s">
        <v>180</v>
      </c>
      <c r="I15" s="13" t="s">
        <v>187</v>
      </c>
      <c r="J15" s="24" t="s">
        <v>16</v>
      </c>
      <c r="K15" s="24" t="s">
        <v>183</v>
      </c>
      <c r="L15" s="31">
        <v>28</v>
      </c>
      <c r="M15" s="18"/>
      <c r="N15" s="22">
        <v>0.01</v>
      </c>
      <c r="O15" s="22">
        <v>0.01</v>
      </c>
      <c r="P15" s="21">
        <v>1</v>
      </c>
      <c r="Q15" s="20">
        <v>1</v>
      </c>
      <c r="R15" s="21">
        <v>1</v>
      </c>
      <c r="S15" s="10">
        <f t="shared" ca="1" si="4"/>
        <v>0</v>
      </c>
      <c r="T15" s="19">
        <f t="shared" ca="1" si="5"/>
        <v>0</v>
      </c>
      <c r="U15" s="18">
        <f t="shared" ca="1" si="6"/>
        <v>0</v>
      </c>
      <c r="V15" s="19">
        <f t="shared" ca="1" si="7"/>
        <v>0</v>
      </c>
      <c r="W15" s="18">
        <f t="shared" ca="1" si="8"/>
        <v>0</v>
      </c>
      <c r="X15" s="19">
        <f t="shared" si="9"/>
        <v>0</v>
      </c>
      <c r="Y15" s="18">
        <f t="shared" si="10"/>
        <v>0</v>
      </c>
      <c r="Z15" s="12">
        <v>45463</v>
      </c>
      <c r="AA15" s="12">
        <v>45463</v>
      </c>
      <c r="AB15" s="12">
        <f t="shared" si="11"/>
        <v>45463</v>
      </c>
      <c r="AC15" s="11">
        <f t="shared" si="28"/>
        <v>45463</v>
      </c>
      <c r="AD15" s="12">
        <v>45470</v>
      </c>
      <c r="AE15" s="12">
        <v>45468</v>
      </c>
      <c r="AF15" s="12">
        <f t="shared" si="12"/>
        <v>45468</v>
      </c>
      <c r="AG15" s="11">
        <f t="shared" si="29"/>
        <v>45468</v>
      </c>
      <c r="AH15" s="12">
        <v>45505</v>
      </c>
      <c r="AI15" s="12">
        <v>45516</v>
      </c>
      <c r="AJ15" s="12">
        <f t="shared" si="13"/>
        <v>45516</v>
      </c>
      <c r="AK15" s="11">
        <v>45516</v>
      </c>
      <c r="AL15" s="12">
        <v>45540</v>
      </c>
      <c r="AM15" s="12">
        <v>45519</v>
      </c>
      <c r="AN15" s="12">
        <f t="shared" si="14"/>
        <v>45519</v>
      </c>
      <c r="AO15" s="11">
        <v>45519</v>
      </c>
      <c r="AP15" s="12">
        <v>45543</v>
      </c>
      <c r="AQ15" s="12">
        <v>45521</v>
      </c>
      <c r="AR15" s="12">
        <f t="shared" si="15"/>
        <v>45521</v>
      </c>
      <c r="AS15" s="11">
        <v>45521</v>
      </c>
      <c r="AT15" s="12">
        <v>45554</v>
      </c>
      <c r="AU15" s="12">
        <v>45528</v>
      </c>
      <c r="AV15" s="12">
        <f t="shared" si="16"/>
        <v>45528</v>
      </c>
      <c r="AW15" s="11">
        <v>45528</v>
      </c>
      <c r="AX15" s="12">
        <v>45574</v>
      </c>
      <c r="AY15" s="12">
        <v>45537</v>
      </c>
      <c r="AZ15" s="12">
        <f t="shared" si="30"/>
        <v>45537</v>
      </c>
      <c r="BA15" s="11">
        <v>45537</v>
      </c>
      <c r="BB15" s="12">
        <f t="shared" si="17"/>
        <v>45577</v>
      </c>
      <c r="BC15" s="12">
        <v>45540</v>
      </c>
      <c r="BD15" s="12">
        <f t="shared" si="31"/>
        <v>45540</v>
      </c>
      <c r="BE15" s="11">
        <f t="shared" si="32"/>
        <v>45540</v>
      </c>
      <c r="BF15" s="12">
        <f t="shared" si="18"/>
        <v>45589</v>
      </c>
      <c r="BG15" s="12">
        <v>45575</v>
      </c>
      <c r="BH15" s="12">
        <f t="shared" si="33"/>
        <v>45575</v>
      </c>
      <c r="BI15" s="11">
        <v>45575</v>
      </c>
      <c r="BJ15" s="12">
        <f t="shared" si="19"/>
        <v>45595</v>
      </c>
      <c r="BK15" s="12">
        <v>45595</v>
      </c>
      <c r="BL15" s="12">
        <f t="shared" si="34"/>
        <v>45595</v>
      </c>
      <c r="BM15" s="16">
        <v>45595</v>
      </c>
      <c r="BN15" s="12">
        <v>45634</v>
      </c>
      <c r="BO15" s="12">
        <v>45597</v>
      </c>
      <c r="BP15" s="12">
        <f t="shared" si="35"/>
        <v>45597</v>
      </c>
      <c r="BQ15" s="11">
        <v>45597</v>
      </c>
      <c r="BR15" s="12">
        <f t="shared" si="20"/>
        <v>45774</v>
      </c>
      <c r="BS15" s="12">
        <v>45786</v>
      </c>
      <c r="BT15" s="12">
        <v>45786</v>
      </c>
      <c r="BU15" s="11">
        <v>45786</v>
      </c>
      <c r="BV15" s="15">
        <f t="shared" si="21"/>
        <v>210</v>
      </c>
      <c r="BW15" s="12">
        <v>45784</v>
      </c>
      <c r="BX15" s="12">
        <v>45866</v>
      </c>
      <c r="BY15" s="12">
        <v>45866</v>
      </c>
      <c r="BZ15" s="11">
        <v>45866</v>
      </c>
      <c r="CA15" s="12">
        <f t="shared" si="22"/>
        <v>45799</v>
      </c>
      <c r="CB15" s="12">
        <v>45876</v>
      </c>
      <c r="CC15" s="12">
        <f t="shared" si="36"/>
        <v>45876</v>
      </c>
      <c r="CD15" s="11">
        <v>45876</v>
      </c>
      <c r="CE15" s="12">
        <f t="shared" si="23"/>
        <v>45826</v>
      </c>
      <c r="CF15" s="12">
        <v>45930</v>
      </c>
      <c r="CG15" s="12">
        <v>45930</v>
      </c>
      <c r="CH15" s="14">
        <f t="shared" si="24"/>
        <v>393</v>
      </c>
      <c r="CI15" s="11">
        <v>45930</v>
      </c>
      <c r="CJ15" s="12">
        <v>45829</v>
      </c>
      <c r="CK15" s="12">
        <v>46021</v>
      </c>
      <c r="CL15" s="12">
        <v>46052</v>
      </c>
      <c r="CM15" s="11">
        <v>46052</v>
      </c>
      <c r="CN15" s="12">
        <v>46009</v>
      </c>
      <c r="CO15" s="12">
        <v>46081</v>
      </c>
      <c r="CP15" s="12">
        <v>45975</v>
      </c>
      <c r="CQ15" s="11">
        <v>45975</v>
      </c>
      <c r="CR15" s="28"/>
      <c r="CS15" s="28"/>
      <c r="CT15" s="1">
        <f t="shared" si="25"/>
        <v>0</v>
      </c>
      <c r="CU15" s="1">
        <f t="shared" si="25"/>
        <v>0</v>
      </c>
      <c r="CV15" s="1">
        <f t="shared" si="25"/>
        <v>0</v>
      </c>
      <c r="CW15" s="1">
        <f t="shared" si="25"/>
        <v>0</v>
      </c>
      <c r="CX15" s="1">
        <f t="shared" si="25"/>
        <v>0</v>
      </c>
      <c r="CY15" s="1">
        <f t="shared" si="25"/>
        <v>0</v>
      </c>
      <c r="CZ15" s="1">
        <f t="shared" si="25"/>
        <v>0</v>
      </c>
      <c r="DA15" s="1">
        <f t="shared" si="25"/>
        <v>0</v>
      </c>
      <c r="DB15" s="1">
        <f t="shared" si="25"/>
        <v>0</v>
      </c>
      <c r="DC15" s="1">
        <f t="shared" si="25"/>
        <v>0</v>
      </c>
      <c r="DD15" s="1">
        <f t="shared" si="26"/>
        <v>0</v>
      </c>
      <c r="DE15" s="1">
        <f t="shared" si="26"/>
        <v>0</v>
      </c>
      <c r="DF15" s="1">
        <f t="shared" si="26"/>
        <v>0</v>
      </c>
      <c r="DG15" s="1">
        <f t="shared" si="26"/>
        <v>0</v>
      </c>
      <c r="DH15" s="1">
        <f t="shared" si="26"/>
        <v>0</v>
      </c>
      <c r="DI15" s="1">
        <f t="shared" si="26"/>
        <v>0</v>
      </c>
      <c r="DJ15" s="1">
        <f t="shared" si="26"/>
        <v>0</v>
      </c>
      <c r="DK15" s="1">
        <f t="shared" si="26"/>
        <v>0</v>
      </c>
      <c r="DL15" s="1">
        <f t="shared" si="26"/>
        <v>0</v>
      </c>
      <c r="DM15" s="1">
        <f t="shared" si="26"/>
        <v>0</v>
      </c>
      <c r="DN15" s="1">
        <f t="shared" si="27"/>
        <v>0</v>
      </c>
      <c r="DO15" s="1">
        <f t="shared" si="27"/>
        <v>0</v>
      </c>
      <c r="DP15" s="1">
        <f t="shared" si="27"/>
        <v>0</v>
      </c>
      <c r="DQ15" s="1">
        <f t="shared" si="27"/>
        <v>0</v>
      </c>
      <c r="DR15" s="1">
        <f t="shared" si="27"/>
        <v>0</v>
      </c>
      <c r="DS15" s="1">
        <f t="shared" si="27"/>
        <v>0</v>
      </c>
      <c r="DT15" s="1">
        <f t="shared" si="27"/>
        <v>0</v>
      </c>
    </row>
    <row r="16" spans="1:125">
      <c r="A16" s="27" t="s">
        <v>202</v>
      </c>
      <c r="B16" s="26" t="str">
        <f t="shared" si="2"/>
        <v>7-30</v>
      </c>
      <c r="C16" s="26" t="s">
        <v>200</v>
      </c>
      <c r="D16" s="25" t="str">
        <f t="shared" si="3"/>
        <v>00</v>
      </c>
      <c r="E16" s="24" t="s">
        <v>198</v>
      </c>
      <c r="F16" s="24" t="s">
        <v>193</v>
      </c>
      <c r="G16" s="24" t="s">
        <v>191</v>
      </c>
      <c r="H16" s="24" t="s">
        <v>180</v>
      </c>
      <c r="I16" s="13" t="s">
        <v>187</v>
      </c>
      <c r="J16" s="24" t="s">
        <v>15</v>
      </c>
      <c r="K16" s="24" t="s">
        <v>182</v>
      </c>
      <c r="L16" s="31">
        <v>28</v>
      </c>
      <c r="M16" s="18"/>
      <c r="N16" s="22">
        <v>0.01</v>
      </c>
      <c r="O16" s="22">
        <v>0.01</v>
      </c>
      <c r="P16" s="21">
        <v>1</v>
      </c>
      <c r="Q16" s="20">
        <v>1</v>
      </c>
      <c r="R16" s="21">
        <v>1</v>
      </c>
      <c r="S16" s="10">
        <f t="shared" ca="1" si="4"/>
        <v>0</v>
      </c>
      <c r="T16" s="19">
        <f t="shared" ca="1" si="5"/>
        <v>0</v>
      </c>
      <c r="U16" s="18">
        <f t="shared" ca="1" si="6"/>
        <v>0</v>
      </c>
      <c r="V16" s="19">
        <f t="shared" ca="1" si="7"/>
        <v>0</v>
      </c>
      <c r="W16" s="18">
        <f t="shared" ca="1" si="8"/>
        <v>0</v>
      </c>
      <c r="X16" s="19">
        <f t="shared" si="9"/>
        <v>0</v>
      </c>
      <c r="Y16" s="18">
        <f t="shared" si="10"/>
        <v>0</v>
      </c>
      <c r="Z16" s="12">
        <v>45463</v>
      </c>
      <c r="AA16" s="12">
        <v>45463</v>
      </c>
      <c r="AB16" s="12">
        <f t="shared" si="11"/>
        <v>45463</v>
      </c>
      <c r="AC16" s="11">
        <f t="shared" si="28"/>
        <v>45463</v>
      </c>
      <c r="AD16" s="12">
        <v>45470</v>
      </c>
      <c r="AE16" s="12">
        <v>45468</v>
      </c>
      <c r="AF16" s="12">
        <f t="shared" si="12"/>
        <v>45468</v>
      </c>
      <c r="AG16" s="11">
        <f t="shared" si="29"/>
        <v>45468</v>
      </c>
      <c r="AH16" s="12">
        <v>45505</v>
      </c>
      <c r="AI16" s="12">
        <v>45516</v>
      </c>
      <c r="AJ16" s="12">
        <f t="shared" si="13"/>
        <v>45516</v>
      </c>
      <c r="AK16" s="11">
        <v>45516</v>
      </c>
      <c r="AL16" s="12">
        <v>45540</v>
      </c>
      <c r="AM16" s="12">
        <v>45519</v>
      </c>
      <c r="AN16" s="12">
        <f t="shared" si="14"/>
        <v>45519</v>
      </c>
      <c r="AO16" s="11">
        <v>45519</v>
      </c>
      <c r="AP16" s="12">
        <v>45543</v>
      </c>
      <c r="AQ16" s="12">
        <v>45521</v>
      </c>
      <c r="AR16" s="12">
        <f t="shared" si="15"/>
        <v>45521</v>
      </c>
      <c r="AS16" s="11">
        <v>45521</v>
      </c>
      <c r="AT16" s="12">
        <v>45554</v>
      </c>
      <c r="AU16" s="12">
        <v>45528</v>
      </c>
      <c r="AV16" s="12">
        <f t="shared" si="16"/>
        <v>45528</v>
      </c>
      <c r="AW16" s="11">
        <v>45528</v>
      </c>
      <c r="AX16" s="12">
        <v>45574</v>
      </c>
      <c r="AY16" s="12">
        <v>45537</v>
      </c>
      <c r="AZ16" s="12">
        <f t="shared" si="30"/>
        <v>45537</v>
      </c>
      <c r="BA16" s="11">
        <v>45537</v>
      </c>
      <c r="BB16" s="12">
        <f t="shared" si="17"/>
        <v>45577</v>
      </c>
      <c r="BC16" s="12">
        <v>45540</v>
      </c>
      <c r="BD16" s="12">
        <f t="shared" si="31"/>
        <v>45540</v>
      </c>
      <c r="BE16" s="11">
        <f t="shared" si="32"/>
        <v>45540</v>
      </c>
      <c r="BF16" s="12">
        <f t="shared" si="18"/>
        <v>45589</v>
      </c>
      <c r="BG16" s="12">
        <v>45575</v>
      </c>
      <c r="BH16" s="12">
        <f t="shared" si="33"/>
        <v>45575</v>
      </c>
      <c r="BI16" s="11">
        <v>45575</v>
      </c>
      <c r="BJ16" s="12">
        <f t="shared" si="19"/>
        <v>45595</v>
      </c>
      <c r="BK16" s="12">
        <v>45595</v>
      </c>
      <c r="BL16" s="12">
        <f t="shared" si="34"/>
        <v>45595</v>
      </c>
      <c r="BM16" s="16">
        <v>45595</v>
      </c>
      <c r="BN16" s="12">
        <v>45634</v>
      </c>
      <c r="BO16" s="12">
        <v>45597</v>
      </c>
      <c r="BP16" s="12">
        <f t="shared" si="35"/>
        <v>45597</v>
      </c>
      <c r="BQ16" s="11">
        <v>45597</v>
      </c>
      <c r="BR16" s="12">
        <f t="shared" si="20"/>
        <v>45774</v>
      </c>
      <c r="BS16" s="12">
        <v>45786</v>
      </c>
      <c r="BT16" s="12">
        <v>45786</v>
      </c>
      <c r="BU16" s="11">
        <v>45786</v>
      </c>
      <c r="BV16" s="15">
        <f t="shared" si="21"/>
        <v>210</v>
      </c>
      <c r="BW16" s="12">
        <v>45784</v>
      </c>
      <c r="BX16" s="12">
        <v>45874</v>
      </c>
      <c r="BY16" s="12">
        <v>45874</v>
      </c>
      <c r="BZ16" s="11">
        <v>45874</v>
      </c>
      <c r="CA16" s="12">
        <f t="shared" si="22"/>
        <v>45799</v>
      </c>
      <c r="CB16" s="12">
        <v>45889</v>
      </c>
      <c r="CC16" s="12">
        <f t="shared" ref="CC16:CC26" si="37">BY16+15</f>
        <v>45889</v>
      </c>
      <c r="CD16" s="11">
        <v>45889</v>
      </c>
      <c r="CE16" s="12">
        <f t="shared" si="23"/>
        <v>45826</v>
      </c>
      <c r="CF16" s="12">
        <v>45942</v>
      </c>
      <c r="CG16" s="12">
        <v>45942</v>
      </c>
      <c r="CH16" s="14">
        <f t="shared" si="24"/>
        <v>405</v>
      </c>
      <c r="CI16" s="11">
        <v>45942</v>
      </c>
      <c r="CJ16" s="12">
        <v>45829</v>
      </c>
      <c r="CK16" s="12">
        <v>46012</v>
      </c>
      <c r="CL16" s="12">
        <v>46052</v>
      </c>
      <c r="CM16" s="11">
        <v>46052</v>
      </c>
      <c r="CN16" s="12">
        <v>46009</v>
      </c>
      <c r="CO16" s="12">
        <v>46072</v>
      </c>
      <c r="CP16" s="12">
        <v>45975</v>
      </c>
      <c r="CQ16" s="11">
        <v>45975</v>
      </c>
      <c r="CR16" s="28"/>
      <c r="CS16" s="28"/>
      <c r="CT16" s="1">
        <f t="shared" ref="CT16:DC25" si="38">IF($AA16&lt;CT$1,1,0)*$AC$1+IF($AE16&lt;CT$1,1,0)*$AG$1+IF($AI16&lt;CT$1,1,0)*$AK$1+IF($AM16&lt;CT$1,1,0)*$AO$1+IF($AQ16&lt;CT$1,1,0)*$AS$1+IF($AU16&lt;CT$1,1,0)*$AW$1+IF($AY16&lt;CT$1,1,0)*$BA$1+IF($BC16&lt;CT$1,1,0)*$BE$1+IF($BG16&lt;CT$1,1,0)*$BI$1+IF($BK16&lt;CT$1,1,0)*$BM$1+IF($BO16&lt;CT$1,1,0)*$BQ$1+IF($BS16&lt;CT$1,1,0)*$BU$1+IF($BX16&lt;CT$1,1,0)*$BZ$1+IF($CB16&lt;CT$1,1,0)*$CD$1+IF($CF16&lt;CT$1,1,0)*$CI$1+IF($CK16&lt;CT$1,1,0)*$CM$1+IF($CO16&lt;CT$1,1,0)*$CQ$1</f>
        <v>0</v>
      </c>
      <c r="CU16" s="1">
        <f t="shared" si="38"/>
        <v>0</v>
      </c>
      <c r="CV16" s="1">
        <f t="shared" si="38"/>
        <v>0</v>
      </c>
      <c r="CW16" s="1">
        <f t="shared" si="38"/>
        <v>0</v>
      </c>
      <c r="CX16" s="1">
        <f t="shared" si="38"/>
        <v>0</v>
      </c>
      <c r="CY16" s="1">
        <f t="shared" si="38"/>
        <v>0</v>
      </c>
      <c r="CZ16" s="1">
        <f t="shared" si="38"/>
        <v>0</v>
      </c>
      <c r="DA16" s="1">
        <f t="shared" si="38"/>
        <v>0</v>
      </c>
      <c r="DB16" s="1">
        <f t="shared" si="38"/>
        <v>0</v>
      </c>
      <c r="DC16" s="1">
        <f t="shared" si="38"/>
        <v>0</v>
      </c>
      <c r="DD16" s="1">
        <f t="shared" ref="DD16:DM25" si="39">IF($AA16&lt;DD$1,1,0)*$AC$1+IF($AE16&lt;DD$1,1,0)*$AG$1+IF($AI16&lt;DD$1,1,0)*$AK$1+IF($AM16&lt;DD$1,1,0)*$AO$1+IF($AQ16&lt;DD$1,1,0)*$AS$1+IF($AU16&lt;DD$1,1,0)*$AW$1+IF($AY16&lt;DD$1,1,0)*$BA$1+IF($BC16&lt;DD$1,1,0)*$BE$1+IF($BG16&lt;DD$1,1,0)*$BI$1+IF($BK16&lt;DD$1,1,0)*$BM$1+IF($BO16&lt;DD$1,1,0)*$BQ$1+IF($BS16&lt;DD$1,1,0)*$BU$1+IF($BX16&lt;DD$1,1,0)*$BZ$1+IF($CB16&lt;DD$1,1,0)*$CD$1+IF($CF16&lt;DD$1,1,0)*$CI$1+IF($CK16&lt;DD$1,1,0)*$CM$1+IF($CO16&lt;DD$1,1,0)*$CQ$1</f>
        <v>0</v>
      </c>
      <c r="DE16" s="1">
        <f t="shared" si="39"/>
        <v>0</v>
      </c>
      <c r="DF16" s="1">
        <f t="shared" si="39"/>
        <v>0</v>
      </c>
      <c r="DG16" s="1">
        <f t="shared" si="39"/>
        <v>0</v>
      </c>
      <c r="DH16" s="1">
        <f t="shared" si="39"/>
        <v>0</v>
      </c>
      <c r="DI16" s="1">
        <f t="shared" si="39"/>
        <v>0</v>
      </c>
      <c r="DJ16" s="1">
        <f t="shared" si="39"/>
        <v>0</v>
      </c>
      <c r="DK16" s="1">
        <f t="shared" si="39"/>
        <v>0</v>
      </c>
      <c r="DL16" s="1">
        <f t="shared" si="39"/>
        <v>0</v>
      </c>
      <c r="DM16" s="1">
        <f t="shared" si="39"/>
        <v>0</v>
      </c>
      <c r="DN16" s="1">
        <f t="shared" ref="DN16:DT25" si="40">IF($AA16&lt;DN$1,1,0)*$AC$1+IF($AE16&lt;DN$1,1,0)*$AG$1+IF($AI16&lt;DN$1,1,0)*$AK$1+IF($AM16&lt;DN$1,1,0)*$AO$1+IF($AQ16&lt;DN$1,1,0)*$AS$1+IF($AU16&lt;DN$1,1,0)*$AW$1+IF($AY16&lt;DN$1,1,0)*$BA$1+IF($BC16&lt;DN$1,1,0)*$BE$1+IF($BG16&lt;DN$1,1,0)*$BI$1+IF($BK16&lt;DN$1,1,0)*$BM$1+IF($BO16&lt;DN$1,1,0)*$BQ$1+IF($BS16&lt;DN$1,1,0)*$BU$1+IF($BX16&lt;DN$1,1,0)*$BZ$1+IF($CB16&lt;DN$1,1,0)*$CD$1+IF($CF16&lt;DN$1,1,0)*$CI$1+IF($CK16&lt;DN$1,1,0)*$CM$1+IF($CO16&lt;DN$1,1,0)*$CQ$1</f>
        <v>0</v>
      </c>
      <c r="DO16" s="1">
        <f t="shared" si="40"/>
        <v>0</v>
      </c>
      <c r="DP16" s="1">
        <f t="shared" si="40"/>
        <v>0</v>
      </c>
      <c r="DQ16" s="1">
        <f t="shared" si="40"/>
        <v>0</v>
      </c>
      <c r="DR16" s="1">
        <f t="shared" si="40"/>
        <v>0</v>
      </c>
      <c r="DS16" s="1">
        <f t="shared" si="40"/>
        <v>0</v>
      </c>
      <c r="DT16" s="1">
        <f t="shared" si="40"/>
        <v>0</v>
      </c>
    </row>
    <row r="17" spans="1:124">
      <c r="A17" s="27" t="s">
        <v>202</v>
      </c>
      <c r="B17" s="26" t="str">
        <f t="shared" si="2"/>
        <v>7-30</v>
      </c>
      <c r="C17" s="26" t="s">
        <v>200</v>
      </c>
      <c r="D17" s="25" t="str">
        <f t="shared" si="3"/>
        <v>00</v>
      </c>
      <c r="E17" s="24" t="s">
        <v>199</v>
      </c>
      <c r="F17" s="24" t="s">
        <v>193</v>
      </c>
      <c r="G17" s="24" t="s">
        <v>191</v>
      </c>
      <c r="H17" s="24" t="s">
        <v>180</v>
      </c>
      <c r="I17" s="24" t="s">
        <v>189</v>
      </c>
      <c r="J17" s="24" t="s">
        <v>14</v>
      </c>
      <c r="K17" s="24" t="s">
        <v>183</v>
      </c>
      <c r="L17" s="31">
        <v>28</v>
      </c>
      <c r="M17" s="18"/>
      <c r="N17" s="22">
        <v>0.01</v>
      </c>
      <c r="O17" s="22">
        <v>0.01</v>
      </c>
      <c r="P17" s="21">
        <v>1</v>
      </c>
      <c r="Q17" s="20">
        <v>1</v>
      </c>
      <c r="R17" s="21">
        <v>1</v>
      </c>
      <c r="S17" s="10">
        <f t="shared" ca="1" si="4"/>
        <v>0</v>
      </c>
      <c r="T17" s="19">
        <f t="shared" ca="1" si="5"/>
        <v>0</v>
      </c>
      <c r="U17" s="18">
        <f t="shared" ca="1" si="6"/>
        <v>0</v>
      </c>
      <c r="V17" s="19">
        <f t="shared" ca="1" si="7"/>
        <v>0</v>
      </c>
      <c r="W17" s="18">
        <f t="shared" ca="1" si="8"/>
        <v>0</v>
      </c>
      <c r="X17" s="19">
        <f t="shared" si="9"/>
        <v>0</v>
      </c>
      <c r="Y17" s="18">
        <f t="shared" si="10"/>
        <v>0</v>
      </c>
      <c r="Z17" s="12">
        <v>45463</v>
      </c>
      <c r="AA17" s="12">
        <v>45463</v>
      </c>
      <c r="AB17" s="12">
        <f t="shared" si="11"/>
        <v>45463</v>
      </c>
      <c r="AC17" s="11">
        <f t="shared" si="28"/>
        <v>45463</v>
      </c>
      <c r="AD17" s="12">
        <v>45470</v>
      </c>
      <c r="AE17" s="12">
        <v>45468</v>
      </c>
      <c r="AF17" s="12">
        <f t="shared" si="12"/>
        <v>45468</v>
      </c>
      <c r="AG17" s="11">
        <f t="shared" si="29"/>
        <v>45468</v>
      </c>
      <c r="AH17" s="12">
        <v>45505</v>
      </c>
      <c r="AI17" s="12">
        <v>45516</v>
      </c>
      <c r="AJ17" s="12">
        <f t="shared" si="13"/>
        <v>45516</v>
      </c>
      <c r="AK17" s="11">
        <v>45516</v>
      </c>
      <c r="AL17" s="12">
        <v>45540</v>
      </c>
      <c r="AM17" s="12">
        <v>45519</v>
      </c>
      <c r="AN17" s="12">
        <f t="shared" si="14"/>
        <v>45519</v>
      </c>
      <c r="AO17" s="11">
        <v>45519</v>
      </c>
      <c r="AP17" s="12">
        <v>45543</v>
      </c>
      <c r="AQ17" s="12">
        <v>45521</v>
      </c>
      <c r="AR17" s="12">
        <f t="shared" si="15"/>
        <v>45521</v>
      </c>
      <c r="AS17" s="11">
        <v>45521</v>
      </c>
      <c r="AT17" s="12">
        <v>45554</v>
      </c>
      <c r="AU17" s="12">
        <v>45528</v>
      </c>
      <c r="AV17" s="12">
        <f t="shared" si="16"/>
        <v>45528</v>
      </c>
      <c r="AW17" s="11">
        <v>45528</v>
      </c>
      <c r="AX17" s="12">
        <v>45574</v>
      </c>
      <c r="AY17" s="12">
        <v>45537</v>
      </c>
      <c r="AZ17" s="12">
        <f t="shared" si="30"/>
        <v>45537</v>
      </c>
      <c r="BA17" s="11">
        <v>45537</v>
      </c>
      <c r="BB17" s="12">
        <f t="shared" si="17"/>
        <v>45577</v>
      </c>
      <c r="BC17" s="12">
        <v>45540</v>
      </c>
      <c r="BD17" s="12">
        <f t="shared" si="31"/>
        <v>45540</v>
      </c>
      <c r="BE17" s="11">
        <f t="shared" si="32"/>
        <v>45540</v>
      </c>
      <c r="BF17" s="12">
        <f t="shared" si="18"/>
        <v>45589</v>
      </c>
      <c r="BG17" s="12">
        <v>45575</v>
      </c>
      <c r="BH17" s="12">
        <f t="shared" si="33"/>
        <v>45575</v>
      </c>
      <c r="BI17" s="11">
        <v>45575</v>
      </c>
      <c r="BJ17" s="12">
        <f t="shared" si="19"/>
        <v>45595</v>
      </c>
      <c r="BK17" s="12">
        <v>45595</v>
      </c>
      <c r="BL17" s="12">
        <f t="shared" si="34"/>
        <v>45595</v>
      </c>
      <c r="BM17" s="16">
        <v>45595</v>
      </c>
      <c r="BN17" s="12">
        <v>45634</v>
      </c>
      <c r="BO17" s="12">
        <v>45597</v>
      </c>
      <c r="BP17" s="12">
        <f t="shared" si="35"/>
        <v>45597</v>
      </c>
      <c r="BQ17" s="11">
        <v>45597</v>
      </c>
      <c r="BR17" s="12">
        <f t="shared" si="20"/>
        <v>45774</v>
      </c>
      <c r="BS17" s="12">
        <v>45786</v>
      </c>
      <c r="BT17" s="12">
        <v>45786</v>
      </c>
      <c r="BU17" s="11">
        <v>45786</v>
      </c>
      <c r="BV17" s="15">
        <f t="shared" si="21"/>
        <v>210</v>
      </c>
      <c r="BW17" s="12">
        <v>45784</v>
      </c>
      <c r="BX17" s="12">
        <v>45874</v>
      </c>
      <c r="BY17" s="12">
        <v>45874</v>
      </c>
      <c r="BZ17" s="11">
        <v>45874</v>
      </c>
      <c r="CA17" s="12">
        <f t="shared" si="22"/>
        <v>45799</v>
      </c>
      <c r="CB17" s="12">
        <v>45889</v>
      </c>
      <c r="CC17" s="12">
        <f t="shared" si="37"/>
        <v>45889</v>
      </c>
      <c r="CD17" s="11">
        <v>45889</v>
      </c>
      <c r="CE17" s="12">
        <f t="shared" si="23"/>
        <v>45826</v>
      </c>
      <c r="CF17" s="12">
        <v>45942</v>
      </c>
      <c r="CG17" s="12">
        <v>45942</v>
      </c>
      <c r="CH17" s="14">
        <f t="shared" si="24"/>
        <v>405</v>
      </c>
      <c r="CI17" s="11">
        <v>45942</v>
      </c>
      <c r="CJ17" s="12">
        <v>45829</v>
      </c>
      <c r="CK17" s="12">
        <v>46012</v>
      </c>
      <c r="CL17" s="12">
        <v>46052</v>
      </c>
      <c r="CM17" s="11">
        <v>46052</v>
      </c>
      <c r="CN17" s="12">
        <v>46009</v>
      </c>
      <c r="CO17" s="12">
        <v>46072</v>
      </c>
      <c r="CP17" s="12">
        <v>45975</v>
      </c>
      <c r="CQ17" s="11">
        <v>45975</v>
      </c>
      <c r="CR17" s="28"/>
      <c r="CS17" s="28"/>
      <c r="CT17" s="1">
        <f t="shared" si="38"/>
        <v>0</v>
      </c>
      <c r="CU17" s="1">
        <f t="shared" si="38"/>
        <v>0</v>
      </c>
      <c r="CV17" s="1">
        <f t="shared" si="38"/>
        <v>0</v>
      </c>
      <c r="CW17" s="1">
        <f t="shared" si="38"/>
        <v>0</v>
      </c>
      <c r="CX17" s="1">
        <f t="shared" si="38"/>
        <v>0</v>
      </c>
      <c r="CY17" s="1">
        <f t="shared" si="38"/>
        <v>0</v>
      </c>
      <c r="CZ17" s="1">
        <f t="shared" si="38"/>
        <v>0</v>
      </c>
      <c r="DA17" s="1">
        <f t="shared" si="38"/>
        <v>0</v>
      </c>
      <c r="DB17" s="1">
        <f t="shared" si="38"/>
        <v>0</v>
      </c>
      <c r="DC17" s="1">
        <f t="shared" si="38"/>
        <v>0</v>
      </c>
      <c r="DD17" s="1">
        <f t="shared" si="39"/>
        <v>0</v>
      </c>
      <c r="DE17" s="1">
        <f t="shared" si="39"/>
        <v>0</v>
      </c>
      <c r="DF17" s="1">
        <f t="shared" si="39"/>
        <v>0</v>
      </c>
      <c r="DG17" s="1">
        <f t="shared" si="39"/>
        <v>0</v>
      </c>
      <c r="DH17" s="1">
        <f t="shared" si="39"/>
        <v>0</v>
      </c>
      <c r="DI17" s="1">
        <f t="shared" si="39"/>
        <v>0</v>
      </c>
      <c r="DJ17" s="1">
        <f t="shared" si="39"/>
        <v>0</v>
      </c>
      <c r="DK17" s="1">
        <f t="shared" si="39"/>
        <v>0</v>
      </c>
      <c r="DL17" s="1">
        <f t="shared" si="39"/>
        <v>0</v>
      </c>
      <c r="DM17" s="1">
        <f t="shared" si="39"/>
        <v>0</v>
      </c>
      <c r="DN17" s="1">
        <f t="shared" si="40"/>
        <v>0</v>
      </c>
      <c r="DO17" s="1">
        <f t="shared" si="40"/>
        <v>0</v>
      </c>
      <c r="DP17" s="1">
        <f t="shared" si="40"/>
        <v>0</v>
      </c>
      <c r="DQ17" s="1">
        <f t="shared" si="40"/>
        <v>0</v>
      </c>
      <c r="DR17" s="1">
        <f t="shared" si="40"/>
        <v>0</v>
      </c>
      <c r="DS17" s="1">
        <f t="shared" si="40"/>
        <v>0</v>
      </c>
      <c r="DT17" s="1">
        <f t="shared" si="40"/>
        <v>0</v>
      </c>
    </row>
    <row r="18" spans="1:124">
      <c r="A18" s="27" t="s">
        <v>203</v>
      </c>
      <c r="B18" s="26" t="str">
        <f t="shared" si="2"/>
        <v>21-3</v>
      </c>
      <c r="C18" s="26" t="s">
        <v>201</v>
      </c>
      <c r="D18" s="25" t="str">
        <f t="shared" si="3"/>
        <v>-3</v>
      </c>
      <c r="E18" s="24" t="s">
        <v>199</v>
      </c>
      <c r="F18" s="24" t="s">
        <v>194</v>
      </c>
      <c r="G18" s="24" t="s">
        <v>192</v>
      </c>
      <c r="H18" s="24" t="s">
        <v>181</v>
      </c>
      <c r="I18" s="13" t="s">
        <v>187</v>
      </c>
      <c r="J18" s="24" t="s">
        <v>13</v>
      </c>
      <c r="K18" s="24" t="s">
        <v>183</v>
      </c>
      <c r="L18" s="31">
        <v>28</v>
      </c>
      <c r="M18" s="18"/>
      <c r="N18" s="22">
        <v>0.01</v>
      </c>
      <c r="O18" s="22">
        <v>0.01</v>
      </c>
      <c r="P18" s="21">
        <v>1</v>
      </c>
      <c r="Q18" s="20">
        <v>1</v>
      </c>
      <c r="R18" s="21">
        <v>1</v>
      </c>
      <c r="S18" s="10">
        <f t="shared" ca="1" si="4"/>
        <v>0</v>
      </c>
      <c r="T18" s="19">
        <f t="shared" ca="1" si="5"/>
        <v>0</v>
      </c>
      <c r="U18" s="18">
        <f t="shared" ca="1" si="6"/>
        <v>0</v>
      </c>
      <c r="V18" s="19">
        <f t="shared" ca="1" si="7"/>
        <v>0</v>
      </c>
      <c r="W18" s="18">
        <f t="shared" ca="1" si="8"/>
        <v>0</v>
      </c>
      <c r="X18" s="19">
        <f t="shared" si="9"/>
        <v>0</v>
      </c>
      <c r="Y18" s="18">
        <f t="shared" si="10"/>
        <v>0</v>
      </c>
      <c r="Z18" s="12">
        <v>45463</v>
      </c>
      <c r="AA18" s="12">
        <v>45463</v>
      </c>
      <c r="AB18" s="12">
        <f t="shared" si="11"/>
        <v>45463</v>
      </c>
      <c r="AC18" s="11">
        <f t="shared" si="28"/>
        <v>45463</v>
      </c>
      <c r="AD18" s="12">
        <v>45470</v>
      </c>
      <c r="AE18" s="12">
        <v>45468</v>
      </c>
      <c r="AF18" s="12">
        <f t="shared" si="12"/>
        <v>45468</v>
      </c>
      <c r="AG18" s="11">
        <f t="shared" si="29"/>
        <v>45468</v>
      </c>
      <c r="AH18" s="12">
        <v>45505</v>
      </c>
      <c r="AI18" s="12">
        <v>45516</v>
      </c>
      <c r="AJ18" s="12">
        <f t="shared" si="13"/>
        <v>45516</v>
      </c>
      <c r="AK18" s="11">
        <v>45516</v>
      </c>
      <c r="AL18" s="12">
        <v>45540</v>
      </c>
      <c r="AM18" s="12">
        <v>45519</v>
      </c>
      <c r="AN18" s="12">
        <f t="shared" si="14"/>
        <v>45519</v>
      </c>
      <c r="AO18" s="11">
        <v>45519</v>
      </c>
      <c r="AP18" s="12">
        <v>45543</v>
      </c>
      <c r="AQ18" s="12">
        <v>45521</v>
      </c>
      <c r="AR18" s="12">
        <f t="shared" si="15"/>
        <v>45521</v>
      </c>
      <c r="AS18" s="11">
        <v>45521</v>
      </c>
      <c r="AT18" s="12">
        <v>45554</v>
      </c>
      <c r="AU18" s="12">
        <v>45528</v>
      </c>
      <c r="AV18" s="12">
        <f t="shared" si="16"/>
        <v>45528</v>
      </c>
      <c r="AW18" s="11">
        <v>45528</v>
      </c>
      <c r="AX18" s="12">
        <v>45574</v>
      </c>
      <c r="AY18" s="12">
        <v>45537</v>
      </c>
      <c r="AZ18" s="12">
        <f t="shared" si="30"/>
        <v>45537</v>
      </c>
      <c r="BA18" s="11">
        <v>45537</v>
      </c>
      <c r="BB18" s="12">
        <f t="shared" si="17"/>
        <v>45577</v>
      </c>
      <c r="BC18" s="12">
        <v>45540</v>
      </c>
      <c r="BD18" s="12">
        <f t="shared" si="31"/>
        <v>45540</v>
      </c>
      <c r="BE18" s="11">
        <f t="shared" si="32"/>
        <v>45540</v>
      </c>
      <c r="BF18" s="12">
        <f t="shared" si="18"/>
        <v>45589</v>
      </c>
      <c r="BG18" s="12">
        <v>45575</v>
      </c>
      <c r="BH18" s="12">
        <f t="shared" si="33"/>
        <v>45575</v>
      </c>
      <c r="BI18" s="11">
        <v>45575</v>
      </c>
      <c r="BJ18" s="12">
        <f t="shared" si="19"/>
        <v>45595</v>
      </c>
      <c r="BK18" s="12">
        <v>45595</v>
      </c>
      <c r="BL18" s="12">
        <f t="shared" si="34"/>
        <v>45595</v>
      </c>
      <c r="BM18" s="16">
        <v>45595</v>
      </c>
      <c r="BN18" s="12">
        <v>45634</v>
      </c>
      <c r="BO18" s="12">
        <v>45597</v>
      </c>
      <c r="BP18" s="12">
        <f t="shared" si="35"/>
        <v>45597</v>
      </c>
      <c r="BQ18" s="11">
        <v>45597</v>
      </c>
      <c r="BR18" s="12">
        <f t="shared" si="20"/>
        <v>45774</v>
      </c>
      <c r="BS18" s="12">
        <v>45786</v>
      </c>
      <c r="BT18" s="12">
        <v>45786</v>
      </c>
      <c r="BU18" s="11">
        <v>45786</v>
      </c>
      <c r="BV18" s="15">
        <f t="shared" si="21"/>
        <v>210</v>
      </c>
      <c r="BW18" s="12">
        <v>45784</v>
      </c>
      <c r="BX18" s="12">
        <v>45874</v>
      </c>
      <c r="BY18" s="12">
        <v>45874</v>
      </c>
      <c r="BZ18" s="11">
        <v>45874</v>
      </c>
      <c r="CA18" s="12">
        <f t="shared" si="22"/>
        <v>45799</v>
      </c>
      <c r="CB18" s="12">
        <v>45889</v>
      </c>
      <c r="CC18" s="12">
        <f t="shared" si="37"/>
        <v>45889</v>
      </c>
      <c r="CD18" s="11">
        <v>45889</v>
      </c>
      <c r="CE18" s="12">
        <f t="shared" si="23"/>
        <v>45826</v>
      </c>
      <c r="CF18" s="12">
        <v>45942</v>
      </c>
      <c r="CG18" s="12">
        <v>45942</v>
      </c>
      <c r="CH18" s="14">
        <f t="shared" si="24"/>
        <v>405</v>
      </c>
      <c r="CI18" s="11">
        <v>45942</v>
      </c>
      <c r="CJ18" s="12">
        <v>45829</v>
      </c>
      <c r="CK18" s="12">
        <v>46012</v>
      </c>
      <c r="CL18" s="12">
        <v>46052</v>
      </c>
      <c r="CM18" s="11">
        <v>46052</v>
      </c>
      <c r="CN18" s="12">
        <v>46009</v>
      </c>
      <c r="CO18" s="12">
        <v>46072</v>
      </c>
      <c r="CP18" s="12">
        <v>45975</v>
      </c>
      <c r="CQ18" s="11">
        <v>45975</v>
      </c>
      <c r="CR18" s="28"/>
      <c r="CS18" s="28"/>
      <c r="CT18" s="1">
        <f t="shared" si="38"/>
        <v>0</v>
      </c>
      <c r="CU18" s="1">
        <f t="shared" si="38"/>
        <v>0</v>
      </c>
      <c r="CV18" s="1">
        <f t="shared" si="38"/>
        <v>0</v>
      </c>
      <c r="CW18" s="1">
        <f t="shared" si="38"/>
        <v>0</v>
      </c>
      <c r="CX18" s="1">
        <f t="shared" si="38"/>
        <v>0</v>
      </c>
      <c r="CY18" s="1">
        <f t="shared" si="38"/>
        <v>0</v>
      </c>
      <c r="CZ18" s="1">
        <f t="shared" si="38"/>
        <v>0</v>
      </c>
      <c r="DA18" s="1">
        <f t="shared" si="38"/>
        <v>0</v>
      </c>
      <c r="DB18" s="1">
        <f t="shared" si="38"/>
        <v>0</v>
      </c>
      <c r="DC18" s="1">
        <f t="shared" si="38"/>
        <v>0</v>
      </c>
      <c r="DD18" s="1">
        <f t="shared" si="39"/>
        <v>0</v>
      </c>
      <c r="DE18" s="1">
        <f t="shared" si="39"/>
        <v>0</v>
      </c>
      <c r="DF18" s="1">
        <f t="shared" si="39"/>
        <v>0</v>
      </c>
      <c r="DG18" s="1">
        <f t="shared" si="39"/>
        <v>0</v>
      </c>
      <c r="DH18" s="1">
        <f t="shared" si="39"/>
        <v>0</v>
      </c>
      <c r="DI18" s="1">
        <f t="shared" si="39"/>
        <v>0</v>
      </c>
      <c r="DJ18" s="1">
        <f t="shared" si="39"/>
        <v>0</v>
      </c>
      <c r="DK18" s="1">
        <f t="shared" si="39"/>
        <v>0</v>
      </c>
      <c r="DL18" s="1">
        <f t="shared" si="39"/>
        <v>0</v>
      </c>
      <c r="DM18" s="1">
        <f t="shared" si="39"/>
        <v>0</v>
      </c>
      <c r="DN18" s="1">
        <f t="shared" si="40"/>
        <v>0</v>
      </c>
      <c r="DO18" s="1">
        <f t="shared" si="40"/>
        <v>0</v>
      </c>
      <c r="DP18" s="1">
        <f t="shared" si="40"/>
        <v>0</v>
      </c>
      <c r="DQ18" s="1">
        <f t="shared" si="40"/>
        <v>0</v>
      </c>
      <c r="DR18" s="1">
        <f t="shared" si="40"/>
        <v>0</v>
      </c>
      <c r="DS18" s="1">
        <f t="shared" si="40"/>
        <v>0</v>
      </c>
      <c r="DT18" s="1">
        <f t="shared" si="40"/>
        <v>0</v>
      </c>
    </row>
    <row r="19" spans="1:124">
      <c r="A19" s="27" t="s">
        <v>203</v>
      </c>
      <c r="B19" s="26" t="str">
        <f t="shared" si="2"/>
        <v>21-3</v>
      </c>
      <c r="C19" s="26" t="s">
        <v>201</v>
      </c>
      <c r="D19" s="25" t="str">
        <f t="shared" si="3"/>
        <v>-3</v>
      </c>
      <c r="E19" s="24" t="s">
        <v>199</v>
      </c>
      <c r="F19" s="24" t="s">
        <v>194</v>
      </c>
      <c r="G19" s="24" t="s">
        <v>192</v>
      </c>
      <c r="H19" s="24" t="s">
        <v>181</v>
      </c>
      <c r="I19" s="13" t="s">
        <v>187</v>
      </c>
      <c r="J19" s="24" t="s">
        <v>12</v>
      </c>
      <c r="K19" s="24" t="s">
        <v>184</v>
      </c>
      <c r="L19" s="31">
        <v>28</v>
      </c>
      <c r="M19" s="18"/>
      <c r="N19" s="22">
        <v>0.01</v>
      </c>
      <c r="O19" s="22">
        <v>0.01</v>
      </c>
      <c r="P19" s="21">
        <v>1</v>
      </c>
      <c r="Q19" s="20">
        <v>1</v>
      </c>
      <c r="R19" s="21">
        <v>1</v>
      </c>
      <c r="S19" s="10">
        <f t="shared" ca="1" si="4"/>
        <v>0</v>
      </c>
      <c r="T19" s="19">
        <f t="shared" ca="1" si="5"/>
        <v>0</v>
      </c>
      <c r="U19" s="18">
        <f t="shared" ca="1" si="6"/>
        <v>0</v>
      </c>
      <c r="V19" s="19">
        <f t="shared" ca="1" si="7"/>
        <v>0</v>
      </c>
      <c r="W19" s="18">
        <f t="shared" ca="1" si="8"/>
        <v>0</v>
      </c>
      <c r="X19" s="19">
        <f t="shared" si="9"/>
        <v>0</v>
      </c>
      <c r="Y19" s="18">
        <f t="shared" si="10"/>
        <v>0</v>
      </c>
      <c r="Z19" s="12">
        <v>45463</v>
      </c>
      <c r="AA19" s="12">
        <v>45463</v>
      </c>
      <c r="AB19" s="12">
        <f t="shared" si="11"/>
        <v>45463</v>
      </c>
      <c r="AC19" s="11">
        <f t="shared" si="28"/>
        <v>45463</v>
      </c>
      <c r="AD19" s="12">
        <v>45470</v>
      </c>
      <c r="AE19" s="12">
        <v>45468</v>
      </c>
      <c r="AF19" s="12">
        <f t="shared" si="12"/>
        <v>45468</v>
      </c>
      <c r="AG19" s="11">
        <f t="shared" si="29"/>
        <v>45468</v>
      </c>
      <c r="AH19" s="12">
        <v>45505</v>
      </c>
      <c r="AI19" s="12">
        <v>45516</v>
      </c>
      <c r="AJ19" s="12">
        <f t="shared" si="13"/>
        <v>45516</v>
      </c>
      <c r="AK19" s="11">
        <v>45516</v>
      </c>
      <c r="AL19" s="12">
        <v>45540</v>
      </c>
      <c r="AM19" s="12">
        <v>45519</v>
      </c>
      <c r="AN19" s="12">
        <f t="shared" si="14"/>
        <v>45519</v>
      </c>
      <c r="AO19" s="11">
        <v>45519</v>
      </c>
      <c r="AP19" s="12">
        <v>45543</v>
      </c>
      <c r="AQ19" s="12">
        <v>45521</v>
      </c>
      <c r="AR19" s="12">
        <f t="shared" si="15"/>
        <v>45521</v>
      </c>
      <c r="AS19" s="11">
        <v>45521</v>
      </c>
      <c r="AT19" s="12">
        <v>45554</v>
      </c>
      <c r="AU19" s="12">
        <v>45528</v>
      </c>
      <c r="AV19" s="12">
        <f t="shared" si="16"/>
        <v>45528</v>
      </c>
      <c r="AW19" s="11">
        <v>45528</v>
      </c>
      <c r="AX19" s="12">
        <v>45574</v>
      </c>
      <c r="AY19" s="12">
        <v>45537</v>
      </c>
      <c r="AZ19" s="12">
        <f t="shared" si="30"/>
        <v>45537</v>
      </c>
      <c r="BA19" s="11">
        <v>45537</v>
      </c>
      <c r="BB19" s="12">
        <f t="shared" si="17"/>
        <v>45577</v>
      </c>
      <c r="BC19" s="12">
        <v>45540</v>
      </c>
      <c r="BD19" s="12">
        <f t="shared" si="31"/>
        <v>45540</v>
      </c>
      <c r="BE19" s="11">
        <f t="shared" si="32"/>
        <v>45540</v>
      </c>
      <c r="BF19" s="12">
        <f t="shared" si="18"/>
        <v>45589</v>
      </c>
      <c r="BG19" s="12">
        <v>45575</v>
      </c>
      <c r="BH19" s="12">
        <f t="shared" si="33"/>
        <v>45575</v>
      </c>
      <c r="BI19" s="11">
        <v>45575</v>
      </c>
      <c r="BJ19" s="12">
        <f t="shared" si="19"/>
        <v>45595</v>
      </c>
      <c r="BK19" s="12">
        <v>45595</v>
      </c>
      <c r="BL19" s="12">
        <f t="shared" si="34"/>
        <v>45595</v>
      </c>
      <c r="BM19" s="16">
        <v>45595</v>
      </c>
      <c r="BN19" s="12">
        <v>45634</v>
      </c>
      <c r="BO19" s="12">
        <v>45597</v>
      </c>
      <c r="BP19" s="12">
        <f t="shared" si="35"/>
        <v>45597</v>
      </c>
      <c r="BQ19" s="11">
        <v>45597</v>
      </c>
      <c r="BR19" s="12">
        <f t="shared" si="20"/>
        <v>45774</v>
      </c>
      <c r="BS19" s="12">
        <v>45786</v>
      </c>
      <c r="BT19" s="12">
        <v>45786</v>
      </c>
      <c r="BU19" s="11">
        <v>45786</v>
      </c>
      <c r="BV19" s="15">
        <f t="shared" si="21"/>
        <v>210</v>
      </c>
      <c r="BW19" s="12">
        <v>45784</v>
      </c>
      <c r="BX19" s="12">
        <v>45874</v>
      </c>
      <c r="BY19" s="12">
        <v>45874</v>
      </c>
      <c r="BZ19" s="11">
        <v>45874</v>
      </c>
      <c r="CA19" s="12">
        <f t="shared" si="22"/>
        <v>45799</v>
      </c>
      <c r="CB19" s="12">
        <v>45889</v>
      </c>
      <c r="CC19" s="12">
        <f t="shared" si="37"/>
        <v>45889</v>
      </c>
      <c r="CD19" s="11">
        <v>45889</v>
      </c>
      <c r="CE19" s="12">
        <f t="shared" si="23"/>
        <v>45826</v>
      </c>
      <c r="CF19" s="12">
        <v>45942</v>
      </c>
      <c r="CG19" s="12">
        <v>45942</v>
      </c>
      <c r="CH19" s="14">
        <f t="shared" si="24"/>
        <v>405</v>
      </c>
      <c r="CI19" s="11">
        <v>45942</v>
      </c>
      <c r="CJ19" s="12">
        <v>45829</v>
      </c>
      <c r="CK19" s="12">
        <v>46012</v>
      </c>
      <c r="CL19" s="12">
        <v>46052</v>
      </c>
      <c r="CM19" s="11">
        <v>46052</v>
      </c>
      <c r="CN19" s="12">
        <v>46009</v>
      </c>
      <c r="CO19" s="12">
        <v>46072</v>
      </c>
      <c r="CP19" s="12">
        <v>45975</v>
      </c>
      <c r="CQ19" s="11">
        <v>45975</v>
      </c>
      <c r="CR19" s="28"/>
      <c r="CS19" s="28"/>
      <c r="CT19" s="1">
        <f t="shared" si="38"/>
        <v>0</v>
      </c>
      <c r="CU19" s="1">
        <f t="shared" si="38"/>
        <v>0</v>
      </c>
      <c r="CV19" s="1">
        <f t="shared" si="38"/>
        <v>0</v>
      </c>
      <c r="CW19" s="1">
        <f t="shared" si="38"/>
        <v>0</v>
      </c>
      <c r="CX19" s="1">
        <f t="shared" si="38"/>
        <v>0</v>
      </c>
      <c r="CY19" s="1">
        <f t="shared" si="38"/>
        <v>0</v>
      </c>
      <c r="CZ19" s="1">
        <f t="shared" si="38"/>
        <v>0</v>
      </c>
      <c r="DA19" s="1">
        <f t="shared" si="38"/>
        <v>0</v>
      </c>
      <c r="DB19" s="1">
        <f t="shared" si="38"/>
        <v>0</v>
      </c>
      <c r="DC19" s="1">
        <f t="shared" si="38"/>
        <v>0</v>
      </c>
      <c r="DD19" s="1">
        <f t="shared" si="39"/>
        <v>0</v>
      </c>
      <c r="DE19" s="1">
        <f t="shared" si="39"/>
        <v>0</v>
      </c>
      <c r="DF19" s="1">
        <f t="shared" si="39"/>
        <v>0</v>
      </c>
      <c r="DG19" s="1">
        <f t="shared" si="39"/>
        <v>0</v>
      </c>
      <c r="DH19" s="1">
        <f t="shared" si="39"/>
        <v>0</v>
      </c>
      <c r="DI19" s="1">
        <f t="shared" si="39"/>
        <v>0</v>
      </c>
      <c r="DJ19" s="1">
        <f t="shared" si="39"/>
        <v>0</v>
      </c>
      <c r="DK19" s="1">
        <f t="shared" si="39"/>
        <v>0</v>
      </c>
      <c r="DL19" s="1">
        <f t="shared" si="39"/>
        <v>0</v>
      </c>
      <c r="DM19" s="1">
        <f t="shared" si="39"/>
        <v>0</v>
      </c>
      <c r="DN19" s="1">
        <f t="shared" si="40"/>
        <v>0</v>
      </c>
      <c r="DO19" s="1">
        <f t="shared" si="40"/>
        <v>0</v>
      </c>
      <c r="DP19" s="1">
        <f t="shared" si="40"/>
        <v>0</v>
      </c>
      <c r="DQ19" s="1">
        <f t="shared" si="40"/>
        <v>0</v>
      </c>
      <c r="DR19" s="1">
        <f t="shared" si="40"/>
        <v>0</v>
      </c>
      <c r="DS19" s="1">
        <f t="shared" si="40"/>
        <v>0</v>
      </c>
      <c r="DT19" s="1">
        <f t="shared" si="40"/>
        <v>0</v>
      </c>
    </row>
    <row r="20" spans="1:124">
      <c r="A20" s="27" t="s">
        <v>203</v>
      </c>
      <c r="B20" s="26" t="str">
        <f t="shared" si="2"/>
        <v>21-3</v>
      </c>
      <c r="C20" s="26" t="s">
        <v>201</v>
      </c>
      <c r="D20" s="25" t="str">
        <f t="shared" si="3"/>
        <v>-3</v>
      </c>
      <c r="E20" s="24" t="s">
        <v>199</v>
      </c>
      <c r="F20" s="24" t="s">
        <v>194</v>
      </c>
      <c r="G20" s="24" t="s">
        <v>192</v>
      </c>
      <c r="H20" s="24" t="s">
        <v>181</v>
      </c>
      <c r="I20" s="13" t="s">
        <v>187</v>
      </c>
      <c r="J20" s="24" t="s">
        <v>11</v>
      </c>
      <c r="K20" s="24" t="s">
        <v>184</v>
      </c>
      <c r="L20" s="31">
        <v>28</v>
      </c>
      <c r="M20" s="18"/>
      <c r="N20" s="22">
        <v>0.01</v>
      </c>
      <c r="O20" s="22">
        <v>0.01</v>
      </c>
      <c r="P20" s="21">
        <v>1</v>
      </c>
      <c r="Q20" s="20">
        <v>1</v>
      </c>
      <c r="R20" s="21">
        <v>1</v>
      </c>
      <c r="S20" s="10">
        <f t="shared" ca="1" si="4"/>
        <v>0</v>
      </c>
      <c r="T20" s="19">
        <f t="shared" ca="1" si="5"/>
        <v>0</v>
      </c>
      <c r="U20" s="18">
        <f t="shared" ca="1" si="6"/>
        <v>0</v>
      </c>
      <c r="V20" s="19">
        <f t="shared" ca="1" si="7"/>
        <v>0</v>
      </c>
      <c r="W20" s="18">
        <f t="shared" ca="1" si="8"/>
        <v>0</v>
      </c>
      <c r="X20" s="19">
        <f t="shared" si="9"/>
        <v>0</v>
      </c>
      <c r="Y20" s="18">
        <f t="shared" si="10"/>
        <v>0</v>
      </c>
      <c r="Z20" s="12">
        <v>45463</v>
      </c>
      <c r="AA20" s="12">
        <v>45463</v>
      </c>
      <c r="AB20" s="12">
        <f t="shared" si="11"/>
        <v>45463</v>
      </c>
      <c r="AC20" s="11">
        <f t="shared" si="28"/>
        <v>45463</v>
      </c>
      <c r="AD20" s="12">
        <v>45470</v>
      </c>
      <c r="AE20" s="12">
        <v>45468</v>
      </c>
      <c r="AF20" s="12">
        <f t="shared" si="12"/>
        <v>45468</v>
      </c>
      <c r="AG20" s="11">
        <f t="shared" si="29"/>
        <v>45468</v>
      </c>
      <c r="AH20" s="12">
        <v>45505</v>
      </c>
      <c r="AI20" s="12">
        <v>45516</v>
      </c>
      <c r="AJ20" s="12">
        <f t="shared" si="13"/>
        <v>45516</v>
      </c>
      <c r="AK20" s="11">
        <v>45516</v>
      </c>
      <c r="AL20" s="12">
        <v>45540</v>
      </c>
      <c r="AM20" s="12">
        <v>45519</v>
      </c>
      <c r="AN20" s="12">
        <f t="shared" si="14"/>
        <v>45519</v>
      </c>
      <c r="AO20" s="11">
        <v>45519</v>
      </c>
      <c r="AP20" s="12">
        <v>45543</v>
      </c>
      <c r="AQ20" s="12">
        <v>45521</v>
      </c>
      <c r="AR20" s="12">
        <f t="shared" si="15"/>
        <v>45521</v>
      </c>
      <c r="AS20" s="11">
        <v>45521</v>
      </c>
      <c r="AT20" s="12">
        <v>45554</v>
      </c>
      <c r="AU20" s="12">
        <v>45528</v>
      </c>
      <c r="AV20" s="12">
        <f t="shared" si="16"/>
        <v>45528</v>
      </c>
      <c r="AW20" s="11">
        <v>45528</v>
      </c>
      <c r="AX20" s="12">
        <v>45574</v>
      </c>
      <c r="AY20" s="12">
        <v>45537</v>
      </c>
      <c r="AZ20" s="12">
        <f t="shared" si="30"/>
        <v>45537</v>
      </c>
      <c r="BA20" s="11">
        <v>45537</v>
      </c>
      <c r="BB20" s="12">
        <f t="shared" si="17"/>
        <v>45577</v>
      </c>
      <c r="BC20" s="12">
        <v>45540</v>
      </c>
      <c r="BD20" s="12">
        <f t="shared" si="31"/>
        <v>45540</v>
      </c>
      <c r="BE20" s="11">
        <f t="shared" si="32"/>
        <v>45540</v>
      </c>
      <c r="BF20" s="12">
        <f t="shared" si="18"/>
        <v>45589</v>
      </c>
      <c r="BG20" s="12">
        <v>45575</v>
      </c>
      <c r="BH20" s="12">
        <f t="shared" si="33"/>
        <v>45575</v>
      </c>
      <c r="BI20" s="11">
        <v>45575</v>
      </c>
      <c r="BJ20" s="12">
        <f t="shared" si="19"/>
        <v>45595</v>
      </c>
      <c r="BK20" s="12">
        <v>45595</v>
      </c>
      <c r="BL20" s="12">
        <f t="shared" si="34"/>
        <v>45595</v>
      </c>
      <c r="BM20" s="16">
        <v>45595</v>
      </c>
      <c r="BN20" s="12">
        <v>45634</v>
      </c>
      <c r="BO20" s="12">
        <v>45597</v>
      </c>
      <c r="BP20" s="12">
        <f t="shared" si="35"/>
        <v>45597</v>
      </c>
      <c r="BQ20" s="11">
        <v>45597</v>
      </c>
      <c r="BR20" s="12">
        <f t="shared" si="20"/>
        <v>45774</v>
      </c>
      <c r="BS20" s="12">
        <v>45843</v>
      </c>
      <c r="BT20" s="12">
        <v>45843</v>
      </c>
      <c r="BU20" s="11">
        <v>45843</v>
      </c>
      <c r="BV20" s="15">
        <f t="shared" si="21"/>
        <v>210</v>
      </c>
      <c r="BW20" s="12">
        <v>45784</v>
      </c>
      <c r="BX20" s="12">
        <v>45874</v>
      </c>
      <c r="BY20" s="12">
        <v>45874</v>
      </c>
      <c r="BZ20" s="11">
        <v>45874</v>
      </c>
      <c r="CA20" s="12">
        <f t="shared" si="22"/>
        <v>45799</v>
      </c>
      <c r="CB20" s="12">
        <v>45889</v>
      </c>
      <c r="CC20" s="12">
        <f t="shared" si="37"/>
        <v>45889</v>
      </c>
      <c r="CD20" s="11">
        <v>45889</v>
      </c>
      <c r="CE20" s="12">
        <f t="shared" si="23"/>
        <v>45826</v>
      </c>
      <c r="CF20" s="12">
        <v>45930</v>
      </c>
      <c r="CG20" s="12">
        <v>45930</v>
      </c>
      <c r="CH20" s="14">
        <f t="shared" si="24"/>
        <v>393</v>
      </c>
      <c r="CI20" s="11">
        <v>45930</v>
      </c>
      <c r="CJ20" s="12">
        <v>45829</v>
      </c>
      <c r="CK20" s="12">
        <v>46021</v>
      </c>
      <c r="CL20" s="12">
        <v>46052</v>
      </c>
      <c r="CM20" s="11">
        <v>46052</v>
      </c>
      <c r="CN20" s="12">
        <v>46009</v>
      </c>
      <c r="CO20" s="12">
        <v>46081</v>
      </c>
      <c r="CP20" s="12">
        <v>45975</v>
      </c>
      <c r="CQ20" s="11">
        <v>45975</v>
      </c>
      <c r="CR20" s="28"/>
      <c r="CS20" s="28"/>
      <c r="CT20" s="1">
        <f t="shared" si="38"/>
        <v>0</v>
      </c>
      <c r="CU20" s="1">
        <f t="shared" si="38"/>
        <v>0</v>
      </c>
      <c r="CV20" s="1">
        <f t="shared" si="38"/>
        <v>0</v>
      </c>
      <c r="CW20" s="1">
        <f t="shared" si="38"/>
        <v>0</v>
      </c>
      <c r="CX20" s="1">
        <f t="shared" si="38"/>
        <v>0</v>
      </c>
      <c r="CY20" s="1">
        <f t="shared" si="38"/>
        <v>0</v>
      </c>
      <c r="CZ20" s="1">
        <f t="shared" si="38"/>
        <v>0</v>
      </c>
      <c r="DA20" s="1">
        <f t="shared" si="38"/>
        <v>0</v>
      </c>
      <c r="DB20" s="1">
        <f t="shared" si="38"/>
        <v>0</v>
      </c>
      <c r="DC20" s="1">
        <f t="shared" si="38"/>
        <v>0</v>
      </c>
      <c r="DD20" s="1">
        <f t="shared" si="39"/>
        <v>0</v>
      </c>
      <c r="DE20" s="1">
        <f t="shared" si="39"/>
        <v>0</v>
      </c>
      <c r="DF20" s="1">
        <f t="shared" si="39"/>
        <v>0</v>
      </c>
      <c r="DG20" s="1">
        <f t="shared" si="39"/>
        <v>0</v>
      </c>
      <c r="DH20" s="1">
        <f t="shared" si="39"/>
        <v>0</v>
      </c>
      <c r="DI20" s="1">
        <f t="shared" si="39"/>
        <v>0</v>
      </c>
      <c r="DJ20" s="1">
        <f t="shared" si="39"/>
        <v>0</v>
      </c>
      <c r="DK20" s="1">
        <f t="shared" si="39"/>
        <v>0</v>
      </c>
      <c r="DL20" s="1">
        <f t="shared" si="39"/>
        <v>0</v>
      </c>
      <c r="DM20" s="1">
        <f t="shared" si="39"/>
        <v>0</v>
      </c>
      <c r="DN20" s="1">
        <f t="shared" si="40"/>
        <v>0</v>
      </c>
      <c r="DO20" s="1">
        <f t="shared" si="40"/>
        <v>0</v>
      </c>
      <c r="DP20" s="1">
        <f t="shared" si="40"/>
        <v>0</v>
      </c>
      <c r="DQ20" s="1">
        <f t="shared" si="40"/>
        <v>0</v>
      </c>
      <c r="DR20" s="1">
        <f t="shared" si="40"/>
        <v>0</v>
      </c>
      <c r="DS20" s="1">
        <f t="shared" si="40"/>
        <v>0</v>
      </c>
      <c r="DT20" s="1">
        <f t="shared" si="40"/>
        <v>0</v>
      </c>
    </row>
    <row r="21" spans="1:124">
      <c r="A21" s="27" t="s">
        <v>203</v>
      </c>
      <c r="B21" s="26" t="str">
        <f t="shared" si="2"/>
        <v>21-3</v>
      </c>
      <c r="C21" s="26" t="s">
        <v>201</v>
      </c>
      <c r="D21" s="25" t="str">
        <f t="shared" si="3"/>
        <v>-3</v>
      </c>
      <c r="E21" s="24" t="s">
        <v>198</v>
      </c>
      <c r="F21" s="24" t="s">
        <v>194</v>
      </c>
      <c r="G21" s="24" t="s">
        <v>191</v>
      </c>
      <c r="H21" s="24" t="s">
        <v>180</v>
      </c>
      <c r="I21" s="24" t="s">
        <v>189</v>
      </c>
      <c r="J21" s="24" t="s">
        <v>10</v>
      </c>
      <c r="K21" s="24" t="s">
        <v>184</v>
      </c>
      <c r="L21" s="31">
        <v>28</v>
      </c>
      <c r="M21" s="18"/>
      <c r="N21" s="22">
        <v>0.01</v>
      </c>
      <c r="O21" s="22">
        <v>0.01</v>
      </c>
      <c r="P21" s="21">
        <v>1</v>
      </c>
      <c r="Q21" s="20">
        <v>1</v>
      </c>
      <c r="R21" s="21">
        <v>1</v>
      </c>
      <c r="S21" s="10">
        <f t="shared" ca="1" si="4"/>
        <v>0</v>
      </c>
      <c r="T21" s="19">
        <f t="shared" ca="1" si="5"/>
        <v>0</v>
      </c>
      <c r="U21" s="18">
        <f t="shared" ca="1" si="6"/>
        <v>0</v>
      </c>
      <c r="V21" s="19">
        <f t="shared" ca="1" si="7"/>
        <v>0</v>
      </c>
      <c r="W21" s="18">
        <f t="shared" ca="1" si="8"/>
        <v>0</v>
      </c>
      <c r="X21" s="19">
        <f t="shared" si="9"/>
        <v>0</v>
      </c>
      <c r="Y21" s="18">
        <f t="shared" si="10"/>
        <v>0</v>
      </c>
      <c r="Z21" s="12">
        <v>45463</v>
      </c>
      <c r="AA21" s="12">
        <v>45463</v>
      </c>
      <c r="AB21" s="12">
        <f t="shared" si="11"/>
        <v>45463</v>
      </c>
      <c r="AC21" s="11">
        <f t="shared" si="28"/>
        <v>45463</v>
      </c>
      <c r="AD21" s="12">
        <v>45470</v>
      </c>
      <c r="AE21" s="12">
        <v>45468</v>
      </c>
      <c r="AF21" s="12">
        <f t="shared" si="12"/>
        <v>45468</v>
      </c>
      <c r="AG21" s="11">
        <f t="shared" si="29"/>
        <v>45468</v>
      </c>
      <c r="AH21" s="12">
        <v>45505</v>
      </c>
      <c r="AI21" s="12">
        <v>45516</v>
      </c>
      <c r="AJ21" s="12">
        <f t="shared" si="13"/>
        <v>45516</v>
      </c>
      <c r="AK21" s="11">
        <v>45516</v>
      </c>
      <c r="AL21" s="12">
        <v>45540</v>
      </c>
      <c r="AM21" s="12">
        <v>45519</v>
      </c>
      <c r="AN21" s="12">
        <f t="shared" si="14"/>
        <v>45519</v>
      </c>
      <c r="AO21" s="11">
        <v>45519</v>
      </c>
      <c r="AP21" s="12">
        <v>45543</v>
      </c>
      <c r="AQ21" s="12">
        <v>45521</v>
      </c>
      <c r="AR21" s="12">
        <f t="shared" si="15"/>
        <v>45521</v>
      </c>
      <c r="AS21" s="11">
        <v>45521</v>
      </c>
      <c r="AT21" s="12">
        <v>45554</v>
      </c>
      <c r="AU21" s="12">
        <v>45528</v>
      </c>
      <c r="AV21" s="12">
        <f t="shared" si="16"/>
        <v>45528</v>
      </c>
      <c r="AW21" s="11">
        <v>45528</v>
      </c>
      <c r="AX21" s="12">
        <v>45574</v>
      </c>
      <c r="AY21" s="12">
        <v>45537</v>
      </c>
      <c r="AZ21" s="12">
        <f t="shared" si="30"/>
        <v>45537</v>
      </c>
      <c r="BA21" s="11">
        <v>45537</v>
      </c>
      <c r="BB21" s="12">
        <f t="shared" si="17"/>
        <v>45577</v>
      </c>
      <c r="BC21" s="12">
        <v>45540</v>
      </c>
      <c r="BD21" s="12">
        <f t="shared" si="31"/>
        <v>45540</v>
      </c>
      <c r="BE21" s="11">
        <f t="shared" si="32"/>
        <v>45540</v>
      </c>
      <c r="BF21" s="12">
        <f t="shared" si="18"/>
        <v>45589</v>
      </c>
      <c r="BG21" s="12">
        <v>45575</v>
      </c>
      <c r="BH21" s="12">
        <f t="shared" si="33"/>
        <v>45575</v>
      </c>
      <c r="BI21" s="11">
        <v>45575</v>
      </c>
      <c r="BJ21" s="12">
        <f t="shared" si="19"/>
        <v>45595</v>
      </c>
      <c r="BK21" s="12">
        <v>45595</v>
      </c>
      <c r="BL21" s="12">
        <f t="shared" si="34"/>
        <v>45595</v>
      </c>
      <c r="BM21" s="16">
        <v>45595</v>
      </c>
      <c r="BN21" s="12">
        <v>45634</v>
      </c>
      <c r="BO21" s="12">
        <v>45597</v>
      </c>
      <c r="BP21" s="12">
        <f t="shared" si="35"/>
        <v>45597</v>
      </c>
      <c r="BQ21" s="11">
        <v>45597</v>
      </c>
      <c r="BR21" s="12">
        <f t="shared" si="20"/>
        <v>45774</v>
      </c>
      <c r="BS21" s="12">
        <v>45786</v>
      </c>
      <c r="BT21" s="12">
        <v>45786</v>
      </c>
      <c r="BU21" s="11">
        <v>45786</v>
      </c>
      <c r="BV21" s="15">
        <f t="shared" si="21"/>
        <v>210</v>
      </c>
      <c r="BW21" s="12">
        <v>45784</v>
      </c>
      <c r="BX21" s="12">
        <v>45874</v>
      </c>
      <c r="BY21" s="12">
        <v>45874</v>
      </c>
      <c r="BZ21" s="11">
        <v>45874</v>
      </c>
      <c r="CA21" s="12">
        <f t="shared" si="22"/>
        <v>45799</v>
      </c>
      <c r="CB21" s="12">
        <v>45889</v>
      </c>
      <c r="CC21" s="12">
        <f t="shared" si="37"/>
        <v>45889</v>
      </c>
      <c r="CD21" s="11">
        <v>45889</v>
      </c>
      <c r="CE21" s="12">
        <f t="shared" si="23"/>
        <v>45826</v>
      </c>
      <c r="CF21" s="12">
        <v>45945</v>
      </c>
      <c r="CG21" s="12">
        <v>45945</v>
      </c>
      <c r="CH21" s="14">
        <f t="shared" si="24"/>
        <v>408</v>
      </c>
      <c r="CI21" s="11">
        <v>45945</v>
      </c>
      <c r="CJ21" s="12">
        <v>45829</v>
      </c>
      <c r="CK21" s="12">
        <v>46015</v>
      </c>
      <c r="CL21" s="12">
        <v>46052</v>
      </c>
      <c r="CM21" s="11">
        <v>46052</v>
      </c>
      <c r="CN21" s="12">
        <v>46009</v>
      </c>
      <c r="CO21" s="12">
        <v>46075</v>
      </c>
      <c r="CP21" s="12">
        <v>45975</v>
      </c>
      <c r="CQ21" s="11">
        <v>45975</v>
      </c>
      <c r="CR21" s="28"/>
      <c r="CS21" s="28"/>
      <c r="CT21" s="1">
        <f t="shared" si="38"/>
        <v>0</v>
      </c>
      <c r="CU21" s="1">
        <f t="shared" si="38"/>
        <v>0</v>
      </c>
      <c r="CV21" s="1">
        <f t="shared" si="38"/>
        <v>0</v>
      </c>
      <c r="CW21" s="1">
        <f t="shared" si="38"/>
        <v>0</v>
      </c>
      <c r="CX21" s="1">
        <f t="shared" si="38"/>
        <v>0</v>
      </c>
      <c r="CY21" s="1">
        <f t="shared" si="38"/>
        <v>0</v>
      </c>
      <c r="CZ21" s="1">
        <f t="shared" si="38"/>
        <v>0</v>
      </c>
      <c r="DA21" s="1">
        <f t="shared" si="38"/>
        <v>0</v>
      </c>
      <c r="DB21" s="1">
        <f t="shared" si="38"/>
        <v>0</v>
      </c>
      <c r="DC21" s="1">
        <f t="shared" si="38"/>
        <v>0</v>
      </c>
      <c r="DD21" s="1">
        <f t="shared" si="39"/>
        <v>0</v>
      </c>
      <c r="DE21" s="1">
        <f t="shared" si="39"/>
        <v>0</v>
      </c>
      <c r="DF21" s="1">
        <f t="shared" si="39"/>
        <v>0</v>
      </c>
      <c r="DG21" s="1">
        <f t="shared" si="39"/>
        <v>0</v>
      </c>
      <c r="DH21" s="1">
        <f t="shared" si="39"/>
        <v>0</v>
      </c>
      <c r="DI21" s="1">
        <f t="shared" si="39"/>
        <v>0</v>
      </c>
      <c r="DJ21" s="1">
        <f t="shared" si="39"/>
        <v>0</v>
      </c>
      <c r="DK21" s="1">
        <f t="shared" si="39"/>
        <v>0</v>
      </c>
      <c r="DL21" s="1">
        <f t="shared" si="39"/>
        <v>0</v>
      </c>
      <c r="DM21" s="1">
        <f t="shared" si="39"/>
        <v>0</v>
      </c>
      <c r="DN21" s="1">
        <f t="shared" si="40"/>
        <v>0</v>
      </c>
      <c r="DO21" s="1">
        <f t="shared" si="40"/>
        <v>0</v>
      </c>
      <c r="DP21" s="1">
        <f t="shared" si="40"/>
        <v>0</v>
      </c>
      <c r="DQ21" s="1">
        <f t="shared" si="40"/>
        <v>0</v>
      </c>
      <c r="DR21" s="1">
        <f t="shared" si="40"/>
        <v>0</v>
      </c>
      <c r="DS21" s="1">
        <f t="shared" si="40"/>
        <v>0</v>
      </c>
      <c r="DT21" s="1">
        <f t="shared" si="40"/>
        <v>0</v>
      </c>
    </row>
    <row r="22" spans="1:124">
      <c r="A22" s="27" t="s">
        <v>203</v>
      </c>
      <c r="B22" s="26" t="str">
        <f t="shared" si="2"/>
        <v>21-3</v>
      </c>
      <c r="C22" s="26" t="s">
        <v>201</v>
      </c>
      <c r="D22" s="25" t="str">
        <f t="shared" si="3"/>
        <v>-3</v>
      </c>
      <c r="E22" s="24" t="s">
        <v>198</v>
      </c>
      <c r="F22" s="24" t="s">
        <v>194</v>
      </c>
      <c r="G22" s="24" t="s">
        <v>191</v>
      </c>
      <c r="H22" s="24" t="s">
        <v>180</v>
      </c>
      <c r="I22" s="24" t="s">
        <v>189</v>
      </c>
      <c r="J22" s="33" t="s">
        <v>9</v>
      </c>
      <c r="K22" s="33" t="s">
        <v>186</v>
      </c>
      <c r="L22" s="31">
        <v>7</v>
      </c>
      <c r="M22" s="18"/>
      <c r="N22" s="22">
        <v>0.01</v>
      </c>
      <c r="O22" s="22">
        <v>0.01</v>
      </c>
      <c r="P22" s="21">
        <v>1</v>
      </c>
      <c r="Q22" s="20">
        <v>1</v>
      </c>
      <c r="R22" s="21">
        <v>1</v>
      </c>
      <c r="S22" s="10">
        <f t="shared" ca="1" si="4"/>
        <v>0</v>
      </c>
      <c r="T22" s="19">
        <f t="shared" ca="1" si="5"/>
        <v>0</v>
      </c>
      <c r="U22" s="18">
        <f t="shared" ca="1" si="6"/>
        <v>0</v>
      </c>
      <c r="V22" s="19">
        <f t="shared" ca="1" si="7"/>
        <v>0</v>
      </c>
      <c r="W22" s="18">
        <f t="shared" ca="1" si="8"/>
        <v>0</v>
      </c>
      <c r="X22" s="19">
        <f t="shared" si="9"/>
        <v>0</v>
      </c>
      <c r="Y22" s="18">
        <f t="shared" si="10"/>
        <v>0</v>
      </c>
      <c r="Z22" s="12">
        <v>45463</v>
      </c>
      <c r="AA22" s="12">
        <v>45463</v>
      </c>
      <c r="AB22" s="12">
        <f t="shared" si="11"/>
        <v>45463</v>
      </c>
      <c r="AC22" s="11">
        <f t="shared" si="28"/>
        <v>45463</v>
      </c>
      <c r="AD22" s="12">
        <v>45470</v>
      </c>
      <c r="AE22" s="12">
        <v>45468</v>
      </c>
      <c r="AF22" s="12">
        <f t="shared" si="12"/>
        <v>45468</v>
      </c>
      <c r="AG22" s="11">
        <f t="shared" si="29"/>
        <v>45468</v>
      </c>
      <c r="AH22" s="12">
        <v>45505</v>
      </c>
      <c r="AI22" s="12">
        <v>45516</v>
      </c>
      <c r="AJ22" s="12">
        <f t="shared" si="13"/>
        <v>45516</v>
      </c>
      <c r="AK22" s="11">
        <v>45516</v>
      </c>
      <c r="AL22" s="12">
        <v>45540</v>
      </c>
      <c r="AM22" s="12">
        <v>45519</v>
      </c>
      <c r="AN22" s="12">
        <f t="shared" si="14"/>
        <v>45519</v>
      </c>
      <c r="AO22" s="11">
        <v>45519</v>
      </c>
      <c r="AP22" s="12">
        <v>45543</v>
      </c>
      <c r="AQ22" s="12">
        <v>45521</v>
      </c>
      <c r="AR22" s="12">
        <f t="shared" si="15"/>
        <v>45521</v>
      </c>
      <c r="AS22" s="11">
        <v>45521</v>
      </c>
      <c r="AT22" s="12">
        <v>45554</v>
      </c>
      <c r="AU22" s="12">
        <v>45528</v>
      </c>
      <c r="AV22" s="12">
        <f t="shared" si="16"/>
        <v>45528</v>
      </c>
      <c r="AW22" s="11">
        <v>45528</v>
      </c>
      <c r="AX22" s="12">
        <v>45574</v>
      </c>
      <c r="AY22" s="12">
        <v>45537</v>
      </c>
      <c r="AZ22" s="12">
        <f t="shared" si="30"/>
        <v>45537</v>
      </c>
      <c r="BA22" s="11">
        <v>45537</v>
      </c>
      <c r="BB22" s="12">
        <f t="shared" si="17"/>
        <v>45577</v>
      </c>
      <c r="BC22" s="12">
        <v>45540</v>
      </c>
      <c r="BD22" s="12">
        <f t="shared" si="31"/>
        <v>45540</v>
      </c>
      <c r="BE22" s="11">
        <f t="shared" si="32"/>
        <v>45540</v>
      </c>
      <c r="BF22" s="12">
        <f t="shared" si="18"/>
        <v>45589</v>
      </c>
      <c r="BG22" s="12">
        <v>45575</v>
      </c>
      <c r="BH22" s="12">
        <f t="shared" si="33"/>
        <v>45575</v>
      </c>
      <c r="BI22" s="11">
        <v>45575</v>
      </c>
      <c r="BJ22" s="12">
        <f t="shared" si="19"/>
        <v>45595</v>
      </c>
      <c r="BK22" s="12">
        <v>45595</v>
      </c>
      <c r="BL22" s="12">
        <f t="shared" si="34"/>
        <v>45595</v>
      </c>
      <c r="BM22" s="16">
        <v>45595</v>
      </c>
      <c r="BN22" s="12">
        <v>45634</v>
      </c>
      <c r="BO22" s="12">
        <v>45597</v>
      </c>
      <c r="BP22" s="12">
        <f t="shared" si="35"/>
        <v>45597</v>
      </c>
      <c r="BQ22" s="11">
        <v>45597</v>
      </c>
      <c r="BR22" s="12">
        <f t="shared" si="20"/>
        <v>45774</v>
      </c>
      <c r="BS22" s="12">
        <v>45843</v>
      </c>
      <c r="BT22" s="12">
        <v>45843</v>
      </c>
      <c r="BU22" s="11">
        <v>45843</v>
      </c>
      <c r="BV22" s="15">
        <f t="shared" si="21"/>
        <v>210</v>
      </c>
      <c r="BW22" s="12">
        <v>45784</v>
      </c>
      <c r="BX22" s="12">
        <v>45874</v>
      </c>
      <c r="BY22" s="12">
        <v>45874</v>
      </c>
      <c r="BZ22" s="11">
        <v>45874</v>
      </c>
      <c r="CA22" s="12">
        <f t="shared" si="22"/>
        <v>45799</v>
      </c>
      <c r="CB22" s="12">
        <v>45889</v>
      </c>
      <c r="CC22" s="12">
        <f t="shared" si="37"/>
        <v>45889</v>
      </c>
      <c r="CD22" s="11">
        <v>45889</v>
      </c>
      <c r="CE22" s="12">
        <f t="shared" si="23"/>
        <v>45826</v>
      </c>
      <c r="CF22" s="12">
        <v>45945</v>
      </c>
      <c r="CG22" s="12">
        <v>45945</v>
      </c>
      <c r="CH22" s="14">
        <f t="shared" si="24"/>
        <v>408</v>
      </c>
      <c r="CI22" s="11">
        <v>45945</v>
      </c>
      <c r="CJ22" s="12">
        <v>45829</v>
      </c>
      <c r="CK22" s="12">
        <v>46015</v>
      </c>
      <c r="CL22" s="12">
        <v>46052</v>
      </c>
      <c r="CM22" s="11">
        <v>46052</v>
      </c>
      <c r="CN22" s="12">
        <v>46009</v>
      </c>
      <c r="CO22" s="12">
        <v>46075</v>
      </c>
      <c r="CP22" s="12">
        <v>45975</v>
      </c>
      <c r="CQ22" s="11">
        <v>45975</v>
      </c>
      <c r="CR22" s="28"/>
      <c r="CS22" s="28"/>
      <c r="CT22" s="1">
        <f t="shared" si="38"/>
        <v>0</v>
      </c>
      <c r="CU22" s="1">
        <f t="shared" si="38"/>
        <v>0</v>
      </c>
      <c r="CV22" s="1">
        <f t="shared" si="38"/>
        <v>0</v>
      </c>
      <c r="CW22" s="1">
        <f t="shared" si="38"/>
        <v>0</v>
      </c>
      <c r="CX22" s="1">
        <f t="shared" si="38"/>
        <v>0</v>
      </c>
      <c r="CY22" s="1">
        <f t="shared" si="38"/>
        <v>0</v>
      </c>
      <c r="CZ22" s="1">
        <f t="shared" si="38"/>
        <v>0</v>
      </c>
      <c r="DA22" s="1">
        <f t="shared" si="38"/>
        <v>0</v>
      </c>
      <c r="DB22" s="1">
        <f t="shared" si="38"/>
        <v>0</v>
      </c>
      <c r="DC22" s="1">
        <f t="shared" si="38"/>
        <v>0</v>
      </c>
      <c r="DD22" s="1">
        <f t="shared" si="39"/>
        <v>0</v>
      </c>
      <c r="DE22" s="1">
        <f t="shared" si="39"/>
        <v>0</v>
      </c>
      <c r="DF22" s="1">
        <f t="shared" si="39"/>
        <v>0</v>
      </c>
      <c r="DG22" s="1">
        <f t="shared" si="39"/>
        <v>0</v>
      </c>
      <c r="DH22" s="1">
        <f t="shared" si="39"/>
        <v>0</v>
      </c>
      <c r="DI22" s="1">
        <f t="shared" si="39"/>
        <v>0</v>
      </c>
      <c r="DJ22" s="1">
        <f t="shared" si="39"/>
        <v>0</v>
      </c>
      <c r="DK22" s="1">
        <f t="shared" si="39"/>
        <v>0</v>
      </c>
      <c r="DL22" s="1">
        <f t="shared" si="39"/>
        <v>0</v>
      </c>
      <c r="DM22" s="1">
        <f t="shared" si="39"/>
        <v>0</v>
      </c>
      <c r="DN22" s="1">
        <f t="shared" si="40"/>
        <v>0</v>
      </c>
      <c r="DO22" s="1">
        <f t="shared" si="40"/>
        <v>0</v>
      </c>
      <c r="DP22" s="1">
        <f t="shared" si="40"/>
        <v>0</v>
      </c>
      <c r="DQ22" s="1">
        <f t="shared" si="40"/>
        <v>0</v>
      </c>
      <c r="DR22" s="1">
        <f t="shared" si="40"/>
        <v>0</v>
      </c>
      <c r="DS22" s="1">
        <f t="shared" si="40"/>
        <v>0</v>
      </c>
      <c r="DT22" s="1">
        <f t="shared" si="40"/>
        <v>0</v>
      </c>
    </row>
    <row r="23" spans="1:124">
      <c r="A23" s="27" t="s">
        <v>203</v>
      </c>
      <c r="B23" s="26" t="str">
        <f t="shared" si="2"/>
        <v>21-3</v>
      </c>
      <c r="C23" s="26" t="s">
        <v>201</v>
      </c>
      <c r="D23" s="25" t="str">
        <f t="shared" si="3"/>
        <v>-3</v>
      </c>
      <c r="E23" s="24" t="s">
        <v>198</v>
      </c>
      <c r="F23" s="24" t="s">
        <v>194</v>
      </c>
      <c r="G23" s="24" t="s">
        <v>191</v>
      </c>
      <c r="H23" s="24" t="s">
        <v>180</v>
      </c>
      <c r="I23" s="24" t="s">
        <v>189</v>
      </c>
      <c r="J23" s="32" t="s">
        <v>8</v>
      </c>
      <c r="K23" s="33" t="s">
        <v>186</v>
      </c>
      <c r="L23" s="31">
        <v>4</v>
      </c>
      <c r="M23" s="18"/>
      <c r="N23" s="22">
        <v>0.01</v>
      </c>
      <c r="O23" s="22">
        <v>0.01</v>
      </c>
      <c r="P23" s="21">
        <v>1</v>
      </c>
      <c r="Q23" s="20">
        <v>1</v>
      </c>
      <c r="R23" s="21">
        <v>1</v>
      </c>
      <c r="S23" s="10">
        <f t="shared" ca="1" si="4"/>
        <v>0</v>
      </c>
      <c r="T23" s="19">
        <f t="shared" ca="1" si="5"/>
        <v>0</v>
      </c>
      <c r="U23" s="18">
        <f t="shared" ca="1" si="6"/>
        <v>0</v>
      </c>
      <c r="V23" s="19">
        <f t="shared" ca="1" si="7"/>
        <v>0</v>
      </c>
      <c r="W23" s="18">
        <f t="shared" ca="1" si="8"/>
        <v>0</v>
      </c>
      <c r="X23" s="19">
        <f t="shared" si="9"/>
        <v>0</v>
      </c>
      <c r="Y23" s="18">
        <f t="shared" si="10"/>
        <v>0</v>
      </c>
      <c r="Z23" s="12">
        <v>45463</v>
      </c>
      <c r="AA23" s="12">
        <v>45463</v>
      </c>
      <c r="AB23" s="12">
        <f t="shared" si="11"/>
        <v>45463</v>
      </c>
      <c r="AC23" s="11">
        <f t="shared" si="28"/>
        <v>45463</v>
      </c>
      <c r="AD23" s="12">
        <v>45470</v>
      </c>
      <c r="AE23" s="12">
        <v>45468</v>
      </c>
      <c r="AF23" s="12">
        <f t="shared" si="12"/>
        <v>45468</v>
      </c>
      <c r="AG23" s="11">
        <f t="shared" si="29"/>
        <v>45468</v>
      </c>
      <c r="AH23" s="12">
        <v>45505</v>
      </c>
      <c r="AI23" s="12">
        <v>45516</v>
      </c>
      <c r="AJ23" s="12">
        <f t="shared" si="13"/>
        <v>45516</v>
      </c>
      <c r="AK23" s="11">
        <v>45516</v>
      </c>
      <c r="AL23" s="12">
        <v>45540</v>
      </c>
      <c r="AM23" s="12">
        <v>45519</v>
      </c>
      <c r="AN23" s="12">
        <f t="shared" si="14"/>
        <v>45519</v>
      </c>
      <c r="AO23" s="11">
        <v>45519</v>
      </c>
      <c r="AP23" s="12">
        <v>45543</v>
      </c>
      <c r="AQ23" s="12">
        <v>45521</v>
      </c>
      <c r="AR23" s="12">
        <f t="shared" si="15"/>
        <v>45521</v>
      </c>
      <c r="AS23" s="11">
        <v>45521</v>
      </c>
      <c r="AT23" s="12">
        <v>45554</v>
      </c>
      <c r="AU23" s="12">
        <v>45528</v>
      </c>
      <c r="AV23" s="12">
        <f t="shared" si="16"/>
        <v>45528</v>
      </c>
      <c r="AW23" s="11">
        <v>45528</v>
      </c>
      <c r="AX23" s="12">
        <v>45574</v>
      </c>
      <c r="AY23" s="12">
        <v>45537</v>
      </c>
      <c r="AZ23" s="12">
        <f t="shared" si="30"/>
        <v>45537</v>
      </c>
      <c r="BA23" s="11">
        <v>45537</v>
      </c>
      <c r="BB23" s="12">
        <f t="shared" si="17"/>
        <v>45577</v>
      </c>
      <c r="BC23" s="12">
        <v>45540</v>
      </c>
      <c r="BD23" s="12">
        <f t="shared" si="31"/>
        <v>45540</v>
      </c>
      <c r="BE23" s="11">
        <f t="shared" si="32"/>
        <v>45540</v>
      </c>
      <c r="BF23" s="12">
        <f t="shared" si="18"/>
        <v>45589</v>
      </c>
      <c r="BG23" s="12">
        <v>45575</v>
      </c>
      <c r="BH23" s="12">
        <f t="shared" si="33"/>
        <v>45575</v>
      </c>
      <c r="BI23" s="11">
        <v>45575</v>
      </c>
      <c r="BJ23" s="12">
        <f t="shared" si="19"/>
        <v>45595</v>
      </c>
      <c r="BK23" s="12">
        <v>45595</v>
      </c>
      <c r="BL23" s="12">
        <f t="shared" si="34"/>
        <v>45595</v>
      </c>
      <c r="BM23" s="16">
        <v>45595</v>
      </c>
      <c r="BN23" s="12">
        <v>45634</v>
      </c>
      <c r="BO23" s="12">
        <v>45597</v>
      </c>
      <c r="BP23" s="12">
        <f t="shared" si="35"/>
        <v>45597</v>
      </c>
      <c r="BQ23" s="11">
        <v>45597</v>
      </c>
      <c r="BR23" s="12">
        <f t="shared" si="20"/>
        <v>45774</v>
      </c>
      <c r="BS23" s="12">
        <v>45843</v>
      </c>
      <c r="BT23" s="12">
        <v>45843</v>
      </c>
      <c r="BU23" s="11">
        <v>45843</v>
      </c>
      <c r="BV23" s="15">
        <f t="shared" si="21"/>
        <v>210</v>
      </c>
      <c r="BW23" s="12">
        <v>45784</v>
      </c>
      <c r="BX23" s="12">
        <v>45874</v>
      </c>
      <c r="BY23" s="12">
        <v>45874</v>
      </c>
      <c r="BZ23" s="11">
        <v>45874</v>
      </c>
      <c r="CA23" s="12">
        <f t="shared" si="22"/>
        <v>45799</v>
      </c>
      <c r="CB23" s="12">
        <v>45889</v>
      </c>
      <c r="CC23" s="12">
        <f t="shared" si="37"/>
        <v>45889</v>
      </c>
      <c r="CD23" s="11">
        <v>45889</v>
      </c>
      <c r="CE23" s="12">
        <f t="shared" si="23"/>
        <v>45826</v>
      </c>
      <c r="CF23" s="12">
        <v>45945</v>
      </c>
      <c r="CG23" s="12">
        <v>45945</v>
      </c>
      <c r="CH23" s="14">
        <f t="shared" si="24"/>
        <v>408</v>
      </c>
      <c r="CI23" s="11">
        <v>45945</v>
      </c>
      <c r="CJ23" s="12">
        <v>45829</v>
      </c>
      <c r="CK23" s="12">
        <v>46015</v>
      </c>
      <c r="CL23" s="12">
        <v>46052</v>
      </c>
      <c r="CM23" s="11">
        <v>46052</v>
      </c>
      <c r="CN23" s="12">
        <v>46009</v>
      </c>
      <c r="CO23" s="12">
        <v>46075</v>
      </c>
      <c r="CP23" s="12">
        <v>45975</v>
      </c>
      <c r="CQ23" s="11">
        <v>45975</v>
      </c>
      <c r="CR23" s="28"/>
      <c r="CS23" s="28"/>
      <c r="CT23" s="1">
        <f t="shared" si="38"/>
        <v>0</v>
      </c>
      <c r="CU23" s="1">
        <f t="shared" si="38"/>
        <v>0</v>
      </c>
      <c r="CV23" s="1">
        <f t="shared" si="38"/>
        <v>0</v>
      </c>
      <c r="CW23" s="1">
        <f t="shared" si="38"/>
        <v>0</v>
      </c>
      <c r="CX23" s="1">
        <f t="shared" si="38"/>
        <v>0</v>
      </c>
      <c r="CY23" s="1">
        <f t="shared" si="38"/>
        <v>0</v>
      </c>
      <c r="CZ23" s="1">
        <f t="shared" si="38"/>
        <v>0</v>
      </c>
      <c r="DA23" s="1">
        <f t="shared" si="38"/>
        <v>0</v>
      </c>
      <c r="DB23" s="1">
        <f t="shared" si="38"/>
        <v>0</v>
      </c>
      <c r="DC23" s="1">
        <f t="shared" si="38"/>
        <v>0</v>
      </c>
      <c r="DD23" s="1">
        <f t="shared" si="39"/>
        <v>0</v>
      </c>
      <c r="DE23" s="1">
        <f t="shared" si="39"/>
        <v>0</v>
      </c>
      <c r="DF23" s="1">
        <f t="shared" si="39"/>
        <v>0</v>
      </c>
      <c r="DG23" s="1">
        <f t="shared" si="39"/>
        <v>0</v>
      </c>
      <c r="DH23" s="1">
        <f t="shared" si="39"/>
        <v>0</v>
      </c>
      <c r="DI23" s="1">
        <f t="shared" si="39"/>
        <v>0</v>
      </c>
      <c r="DJ23" s="1">
        <f t="shared" si="39"/>
        <v>0</v>
      </c>
      <c r="DK23" s="1">
        <f t="shared" si="39"/>
        <v>0</v>
      </c>
      <c r="DL23" s="1">
        <f t="shared" si="39"/>
        <v>0</v>
      </c>
      <c r="DM23" s="1">
        <f t="shared" si="39"/>
        <v>0</v>
      </c>
      <c r="DN23" s="1">
        <f t="shared" si="40"/>
        <v>0</v>
      </c>
      <c r="DO23" s="1">
        <f t="shared" si="40"/>
        <v>0</v>
      </c>
      <c r="DP23" s="1">
        <f t="shared" si="40"/>
        <v>0</v>
      </c>
      <c r="DQ23" s="1">
        <f t="shared" si="40"/>
        <v>0</v>
      </c>
      <c r="DR23" s="1">
        <f t="shared" si="40"/>
        <v>0</v>
      </c>
      <c r="DS23" s="1">
        <f t="shared" si="40"/>
        <v>0</v>
      </c>
      <c r="DT23" s="1">
        <f t="shared" si="40"/>
        <v>0</v>
      </c>
    </row>
    <row r="24" spans="1:124">
      <c r="A24" s="27" t="s">
        <v>203</v>
      </c>
      <c r="B24" s="26" t="str">
        <f t="shared" si="2"/>
        <v>21-3</v>
      </c>
      <c r="C24" s="26" t="s">
        <v>201</v>
      </c>
      <c r="D24" s="25" t="str">
        <f t="shared" si="3"/>
        <v>-3</v>
      </c>
      <c r="E24" s="24" t="s">
        <v>198</v>
      </c>
      <c r="F24" s="24" t="s">
        <v>194</v>
      </c>
      <c r="G24" s="24" t="s">
        <v>191</v>
      </c>
      <c r="H24" s="24" t="s">
        <v>181</v>
      </c>
      <c r="I24" s="24" t="s">
        <v>189</v>
      </c>
      <c r="J24" s="13" t="s">
        <v>7</v>
      </c>
      <c r="K24" s="33" t="s">
        <v>186</v>
      </c>
      <c r="L24" s="31">
        <v>4</v>
      </c>
      <c r="M24" s="18"/>
      <c r="N24" s="22">
        <v>0.01</v>
      </c>
      <c r="O24" s="22">
        <v>0.01</v>
      </c>
      <c r="P24" s="21">
        <v>1</v>
      </c>
      <c r="Q24" s="20">
        <v>1</v>
      </c>
      <c r="R24" s="21">
        <v>1</v>
      </c>
      <c r="S24" s="10">
        <f t="shared" ca="1" si="4"/>
        <v>0</v>
      </c>
      <c r="T24" s="19">
        <f t="shared" ca="1" si="5"/>
        <v>0</v>
      </c>
      <c r="U24" s="18">
        <f t="shared" ca="1" si="6"/>
        <v>0</v>
      </c>
      <c r="V24" s="19">
        <f t="shared" ca="1" si="7"/>
        <v>0</v>
      </c>
      <c r="W24" s="18">
        <f t="shared" ca="1" si="8"/>
        <v>0</v>
      </c>
      <c r="X24" s="19">
        <f t="shared" si="9"/>
        <v>0</v>
      </c>
      <c r="Y24" s="18">
        <f t="shared" si="10"/>
        <v>0</v>
      </c>
      <c r="Z24" s="12">
        <v>45463</v>
      </c>
      <c r="AA24" s="12">
        <v>45463</v>
      </c>
      <c r="AB24" s="12">
        <f t="shared" si="11"/>
        <v>45463</v>
      </c>
      <c r="AC24" s="11">
        <f t="shared" si="28"/>
        <v>45463</v>
      </c>
      <c r="AD24" s="12">
        <v>45470</v>
      </c>
      <c r="AE24" s="12">
        <v>45468</v>
      </c>
      <c r="AF24" s="12">
        <f t="shared" si="12"/>
        <v>45468</v>
      </c>
      <c r="AG24" s="11">
        <f t="shared" si="29"/>
        <v>45468</v>
      </c>
      <c r="AH24" s="12">
        <v>45505</v>
      </c>
      <c r="AI24" s="12">
        <v>45516</v>
      </c>
      <c r="AJ24" s="12">
        <f t="shared" si="13"/>
        <v>45516</v>
      </c>
      <c r="AK24" s="11">
        <v>45516</v>
      </c>
      <c r="AL24" s="12">
        <v>45540</v>
      </c>
      <c r="AM24" s="12">
        <v>45519</v>
      </c>
      <c r="AN24" s="12">
        <f t="shared" si="14"/>
        <v>45519</v>
      </c>
      <c r="AO24" s="11">
        <v>45519</v>
      </c>
      <c r="AP24" s="12">
        <v>45543</v>
      </c>
      <c r="AQ24" s="12">
        <v>45521</v>
      </c>
      <c r="AR24" s="12">
        <f t="shared" si="15"/>
        <v>45521</v>
      </c>
      <c r="AS24" s="11">
        <v>45521</v>
      </c>
      <c r="AT24" s="12">
        <v>45554</v>
      </c>
      <c r="AU24" s="12">
        <v>45528</v>
      </c>
      <c r="AV24" s="12">
        <f t="shared" si="16"/>
        <v>45528</v>
      </c>
      <c r="AW24" s="11">
        <v>45528</v>
      </c>
      <c r="AX24" s="12">
        <v>45574</v>
      </c>
      <c r="AY24" s="12">
        <v>45537</v>
      </c>
      <c r="AZ24" s="12">
        <f t="shared" si="30"/>
        <v>45537</v>
      </c>
      <c r="BA24" s="11">
        <v>45537</v>
      </c>
      <c r="BB24" s="12">
        <f t="shared" si="17"/>
        <v>45577</v>
      </c>
      <c r="BC24" s="12">
        <v>45540</v>
      </c>
      <c r="BD24" s="12">
        <f t="shared" si="31"/>
        <v>45540</v>
      </c>
      <c r="BE24" s="11">
        <f t="shared" si="32"/>
        <v>45540</v>
      </c>
      <c r="BF24" s="12">
        <f t="shared" si="18"/>
        <v>45589</v>
      </c>
      <c r="BG24" s="12">
        <v>45575</v>
      </c>
      <c r="BH24" s="12">
        <f t="shared" si="33"/>
        <v>45575</v>
      </c>
      <c r="BI24" s="11">
        <v>45575</v>
      </c>
      <c r="BJ24" s="12">
        <f t="shared" si="19"/>
        <v>45595</v>
      </c>
      <c r="BK24" s="12">
        <v>45595</v>
      </c>
      <c r="BL24" s="12">
        <f t="shared" si="34"/>
        <v>45595</v>
      </c>
      <c r="BM24" s="16">
        <v>45595</v>
      </c>
      <c r="BN24" s="12">
        <v>45634</v>
      </c>
      <c r="BO24" s="12">
        <v>45597</v>
      </c>
      <c r="BP24" s="12">
        <f t="shared" si="35"/>
        <v>45597</v>
      </c>
      <c r="BQ24" s="11">
        <v>45597</v>
      </c>
      <c r="BR24" s="12">
        <f t="shared" si="20"/>
        <v>45774</v>
      </c>
      <c r="BS24" s="12">
        <v>45843</v>
      </c>
      <c r="BT24" s="12">
        <v>45843</v>
      </c>
      <c r="BU24" s="11">
        <v>45843</v>
      </c>
      <c r="BV24" s="15">
        <f t="shared" si="21"/>
        <v>210</v>
      </c>
      <c r="BW24" s="12">
        <v>45784</v>
      </c>
      <c r="BX24" s="12">
        <v>45874</v>
      </c>
      <c r="BY24" s="12">
        <v>45874</v>
      </c>
      <c r="BZ24" s="11">
        <v>45874</v>
      </c>
      <c r="CA24" s="12">
        <f t="shared" si="22"/>
        <v>45799</v>
      </c>
      <c r="CB24" s="12">
        <v>45889</v>
      </c>
      <c r="CC24" s="12">
        <f t="shared" si="37"/>
        <v>45889</v>
      </c>
      <c r="CD24" s="11">
        <v>45889</v>
      </c>
      <c r="CE24" s="12">
        <f t="shared" si="23"/>
        <v>45826</v>
      </c>
      <c r="CF24" s="12">
        <v>45945</v>
      </c>
      <c r="CG24" s="12">
        <v>45945</v>
      </c>
      <c r="CH24" s="14">
        <f t="shared" si="24"/>
        <v>408</v>
      </c>
      <c r="CI24" s="11">
        <v>45945</v>
      </c>
      <c r="CJ24" s="12">
        <v>45829</v>
      </c>
      <c r="CK24" s="12">
        <v>46015</v>
      </c>
      <c r="CL24" s="12">
        <v>46052</v>
      </c>
      <c r="CM24" s="11">
        <v>46052</v>
      </c>
      <c r="CN24" s="12">
        <v>46009</v>
      </c>
      <c r="CO24" s="12">
        <v>46075</v>
      </c>
      <c r="CP24" s="12">
        <v>45975</v>
      </c>
      <c r="CQ24" s="11">
        <v>45975</v>
      </c>
      <c r="CR24" s="28"/>
      <c r="CS24" s="28"/>
      <c r="CT24" s="1">
        <f t="shared" si="38"/>
        <v>0</v>
      </c>
      <c r="CU24" s="1">
        <f t="shared" si="38"/>
        <v>0</v>
      </c>
      <c r="CV24" s="1">
        <f t="shared" si="38"/>
        <v>0</v>
      </c>
      <c r="CW24" s="1">
        <f t="shared" si="38"/>
        <v>0</v>
      </c>
      <c r="CX24" s="1">
        <f t="shared" si="38"/>
        <v>0</v>
      </c>
      <c r="CY24" s="1">
        <f t="shared" si="38"/>
        <v>0</v>
      </c>
      <c r="CZ24" s="1">
        <f t="shared" si="38"/>
        <v>0</v>
      </c>
      <c r="DA24" s="1">
        <f t="shared" si="38"/>
        <v>0</v>
      </c>
      <c r="DB24" s="1">
        <f t="shared" si="38"/>
        <v>0</v>
      </c>
      <c r="DC24" s="1">
        <f t="shared" si="38"/>
        <v>0</v>
      </c>
      <c r="DD24" s="1">
        <f t="shared" si="39"/>
        <v>0</v>
      </c>
      <c r="DE24" s="1">
        <f t="shared" si="39"/>
        <v>0</v>
      </c>
      <c r="DF24" s="1">
        <f t="shared" si="39"/>
        <v>0</v>
      </c>
      <c r="DG24" s="1">
        <f t="shared" si="39"/>
        <v>0</v>
      </c>
      <c r="DH24" s="1">
        <f t="shared" si="39"/>
        <v>0</v>
      </c>
      <c r="DI24" s="1">
        <f t="shared" si="39"/>
        <v>0</v>
      </c>
      <c r="DJ24" s="1">
        <f t="shared" si="39"/>
        <v>0</v>
      </c>
      <c r="DK24" s="1">
        <f t="shared" si="39"/>
        <v>0</v>
      </c>
      <c r="DL24" s="1">
        <f t="shared" si="39"/>
        <v>0</v>
      </c>
      <c r="DM24" s="1">
        <f t="shared" si="39"/>
        <v>0</v>
      </c>
      <c r="DN24" s="1">
        <f t="shared" si="40"/>
        <v>0</v>
      </c>
      <c r="DO24" s="1">
        <f t="shared" si="40"/>
        <v>0</v>
      </c>
      <c r="DP24" s="1">
        <f t="shared" si="40"/>
        <v>0</v>
      </c>
      <c r="DQ24" s="1">
        <f t="shared" si="40"/>
        <v>0</v>
      </c>
      <c r="DR24" s="1">
        <f t="shared" si="40"/>
        <v>0</v>
      </c>
      <c r="DS24" s="1">
        <f t="shared" si="40"/>
        <v>0</v>
      </c>
      <c r="DT24" s="1">
        <f t="shared" si="40"/>
        <v>0</v>
      </c>
    </row>
    <row r="25" spans="1:124">
      <c r="A25" s="27" t="s">
        <v>203</v>
      </c>
      <c r="B25" s="26" t="str">
        <f t="shared" si="2"/>
        <v>21-3</v>
      </c>
      <c r="C25" s="26" t="s">
        <v>201</v>
      </c>
      <c r="D25" s="25" t="str">
        <f t="shared" si="3"/>
        <v>-3</v>
      </c>
      <c r="E25" s="24" t="s">
        <v>199</v>
      </c>
      <c r="F25" s="24" t="s">
        <v>194</v>
      </c>
      <c r="G25" s="24" t="s">
        <v>191</v>
      </c>
      <c r="H25" s="24" t="s">
        <v>180</v>
      </c>
      <c r="I25" s="24" t="s">
        <v>189</v>
      </c>
      <c r="J25" s="13" t="s">
        <v>6</v>
      </c>
      <c r="K25" s="33" t="s">
        <v>186</v>
      </c>
      <c r="L25" s="31">
        <v>4</v>
      </c>
      <c r="M25" s="18"/>
      <c r="N25" s="22">
        <v>0.01</v>
      </c>
      <c r="O25" s="22">
        <v>0.01</v>
      </c>
      <c r="P25" s="21">
        <v>1</v>
      </c>
      <c r="Q25" s="20">
        <v>1</v>
      </c>
      <c r="R25" s="21">
        <v>1</v>
      </c>
      <c r="S25" s="10">
        <f t="shared" ca="1" si="4"/>
        <v>0</v>
      </c>
      <c r="T25" s="19">
        <f t="shared" ca="1" si="5"/>
        <v>0</v>
      </c>
      <c r="U25" s="18">
        <f t="shared" ca="1" si="6"/>
        <v>0</v>
      </c>
      <c r="V25" s="19">
        <f t="shared" ca="1" si="7"/>
        <v>0</v>
      </c>
      <c r="W25" s="18">
        <f t="shared" ca="1" si="8"/>
        <v>0</v>
      </c>
      <c r="X25" s="19">
        <f t="shared" si="9"/>
        <v>0</v>
      </c>
      <c r="Y25" s="18">
        <f t="shared" si="10"/>
        <v>0</v>
      </c>
      <c r="Z25" s="12">
        <v>45463</v>
      </c>
      <c r="AA25" s="12">
        <v>45463</v>
      </c>
      <c r="AB25" s="12">
        <f t="shared" si="11"/>
        <v>45463</v>
      </c>
      <c r="AC25" s="11">
        <f t="shared" si="28"/>
        <v>45463</v>
      </c>
      <c r="AD25" s="12">
        <v>45470</v>
      </c>
      <c r="AE25" s="12">
        <v>45468</v>
      </c>
      <c r="AF25" s="12">
        <f t="shared" si="12"/>
        <v>45468</v>
      </c>
      <c r="AG25" s="11">
        <f t="shared" si="29"/>
        <v>45468</v>
      </c>
      <c r="AH25" s="12">
        <v>45505</v>
      </c>
      <c r="AI25" s="12">
        <v>45516</v>
      </c>
      <c r="AJ25" s="12">
        <f t="shared" si="13"/>
        <v>45516</v>
      </c>
      <c r="AK25" s="11">
        <v>45516</v>
      </c>
      <c r="AL25" s="12">
        <v>45540</v>
      </c>
      <c r="AM25" s="12">
        <v>45519</v>
      </c>
      <c r="AN25" s="12">
        <f t="shared" si="14"/>
        <v>45519</v>
      </c>
      <c r="AO25" s="11">
        <v>45519</v>
      </c>
      <c r="AP25" s="12">
        <v>45543</v>
      </c>
      <c r="AQ25" s="12">
        <v>45521</v>
      </c>
      <c r="AR25" s="12">
        <f t="shared" si="15"/>
        <v>45521</v>
      </c>
      <c r="AS25" s="11">
        <v>45521</v>
      </c>
      <c r="AT25" s="12">
        <v>45554</v>
      </c>
      <c r="AU25" s="12">
        <v>45528</v>
      </c>
      <c r="AV25" s="12">
        <f t="shared" si="16"/>
        <v>45528</v>
      </c>
      <c r="AW25" s="11">
        <v>45528</v>
      </c>
      <c r="AX25" s="12">
        <v>45574</v>
      </c>
      <c r="AY25" s="12">
        <v>45537</v>
      </c>
      <c r="AZ25" s="12">
        <f t="shared" si="30"/>
        <v>45537</v>
      </c>
      <c r="BA25" s="11">
        <v>45537</v>
      </c>
      <c r="BB25" s="12">
        <f t="shared" si="17"/>
        <v>45577</v>
      </c>
      <c r="BC25" s="12">
        <v>45540</v>
      </c>
      <c r="BD25" s="12">
        <f t="shared" si="31"/>
        <v>45540</v>
      </c>
      <c r="BE25" s="11">
        <f t="shared" si="32"/>
        <v>45540</v>
      </c>
      <c r="BF25" s="12">
        <f t="shared" si="18"/>
        <v>45589</v>
      </c>
      <c r="BG25" s="12">
        <v>45575</v>
      </c>
      <c r="BH25" s="12">
        <f t="shared" si="33"/>
        <v>45575</v>
      </c>
      <c r="BI25" s="11">
        <v>45575</v>
      </c>
      <c r="BJ25" s="12">
        <f t="shared" si="19"/>
        <v>45595</v>
      </c>
      <c r="BK25" s="12">
        <v>45595</v>
      </c>
      <c r="BL25" s="12">
        <f t="shared" si="34"/>
        <v>45595</v>
      </c>
      <c r="BM25" s="16">
        <v>45595</v>
      </c>
      <c r="BN25" s="12">
        <v>45634</v>
      </c>
      <c r="BO25" s="12">
        <v>45597</v>
      </c>
      <c r="BP25" s="12">
        <f t="shared" si="35"/>
        <v>45597</v>
      </c>
      <c r="BQ25" s="11">
        <v>45597</v>
      </c>
      <c r="BR25" s="12">
        <f t="shared" si="20"/>
        <v>45774</v>
      </c>
      <c r="BS25" s="12">
        <v>45843</v>
      </c>
      <c r="BT25" s="12">
        <v>45843</v>
      </c>
      <c r="BU25" s="11">
        <v>45843</v>
      </c>
      <c r="BV25" s="15">
        <f t="shared" si="21"/>
        <v>210</v>
      </c>
      <c r="BW25" s="12">
        <v>45784</v>
      </c>
      <c r="BX25" s="12">
        <v>45874</v>
      </c>
      <c r="BY25" s="12">
        <v>45874</v>
      </c>
      <c r="BZ25" s="11">
        <v>45874</v>
      </c>
      <c r="CA25" s="12">
        <f t="shared" si="22"/>
        <v>45799</v>
      </c>
      <c r="CB25" s="12">
        <v>45889</v>
      </c>
      <c r="CC25" s="12">
        <f t="shared" si="37"/>
        <v>45889</v>
      </c>
      <c r="CD25" s="11">
        <v>45889</v>
      </c>
      <c r="CE25" s="12">
        <f t="shared" si="23"/>
        <v>45826</v>
      </c>
      <c r="CF25" s="12">
        <v>45945</v>
      </c>
      <c r="CG25" s="12">
        <v>45945</v>
      </c>
      <c r="CH25" s="14">
        <f t="shared" si="24"/>
        <v>408</v>
      </c>
      <c r="CI25" s="11">
        <v>45945</v>
      </c>
      <c r="CJ25" s="12">
        <v>45829</v>
      </c>
      <c r="CK25" s="12">
        <v>46015</v>
      </c>
      <c r="CL25" s="12">
        <v>46052</v>
      </c>
      <c r="CM25" s="11">
        <v>46052</v>
      </c>
      <c r="CN25" s="12">
        <v>46009</v>
      </c>
      <c r="CO25" s="12">
        <v>46075</v>
      </c>
      <c r="CP25" s="12">
        <v>45975</v>
      </c>
      <c r="CQ25" s="11">
        <v>45975</v>
      </c>
      <c r="CR25" s="28"/>
      <c r="CS25" s="28"/>
      <c r="CT25" s="1">
        <f t="shared" si="38"/>
        <v>0</v>
      </c>
      <c r="CU25" s="1">
        <f t="shared" si="38"/>
        <v>0</v>
      </c>
      <c r="CV25" s="1">
        <f t="shared" si="38"/>
        <v>0</v>
      </c>
      <c r="CW25" s="1">
        <f t="shared" si="38"/>
        <v>0</v>
      </c>
      <c r="CX25" s="1">
        <f t="shared" si="38"/>
        <v>0</v>
      </c>
      <c r="CY25" s="1">
        <f t="shared" si="38"/>
        <v>0</v>
      </c>
      <c r="CZ25" s="1">
        <f t="shared" si="38"/>
        <v>0</v>
      </c>
      <c r="DA25" s="1">
        <f t="shared" si="38"/>
        <v>0</v>
      </c>
      <c r="DB25" s="1">
        <f t="shared" si="38"/>
        <v>0</v>
      </c>
      <c r="DC25" s="1">
        <f t="shared" si="38"/>
        <v>0</v>
      </c>
      <c r="DD25" s="1">
        <f t="shared" si="39"/>
        <v>0</v>
      </c>
      <c r="DE25" s="1">
        <f t="shared" si="39"/>
        <v>0</v>
      </c>
      <c r="DF25" s="1">
        <f t="shared" si="39"/>
        <v>0</v>
      </c>
      <c r="DG25" s="1">
        <f t="shared" si="39"/>
        <v>0</v>
      </c>
      <c r="DH25" s="1">
        <f t="shared" si="39"/>
        <v>0</v>
      </c>
      <c r="DI25" s="1">
        <f t="shared" si="39"/>
        <v>0</v>
      </c>
      <c r="DJ25" s="1">
        <f t="shared" si="39"/>
        <v>0</v>
      </c>
      <c r="DK25" s="1">
        <f t="shared" si="39"/>
        <v>0</v>
      </c>
      <c r="DL25" s="1">
        <f t="shared" si="39"/>
        <v>0</v>
      </c>
      <c r="DM25" s="1">
        <f t="shared" si="39"/>
        <v>0</v>
      </c>
      <c r="DN25" s="1">
        <f t="shared" si="40"/>
        <v>0</v>
      </c>
      <c r="DO25" s="1">
        <f t="shared" si="40"/>
        <v>0</v>
      </c>
      <c r="DP25" s="1">
        <f t="shared" si="40"/>
        <v>0</v>
      </c>
      <c r="DQ25" s="1">
        <f t="shared" si="40"/>
        <v>0</v>
      </c>
      <c r="DR25" s="1">
        <f t="shared" si="40"/>
        <v>0</v>
      </c>
      <c r="DS25" s="1">
        <f t="shared" si="40"/>
        <v>0</v>
      </c>
      <c r="DT25" s="1">
        <f t="shared" si="40"/>
        <v>0</v>
      </c>
    </row>
    <row r="26" spans="1:124">
      <c r="A26" s="27" t="s">
        <v>204</v>
      </c>
      <c r="B26" s="26" t="str">
        <f t="shared" si="2"/>
        <v>7G-3</v>
      </c>
      <c r="C26" s="26" t="s">
        <v>201</v>
      </c>
      <c r="D26" s="25" t="str">
        <f t="shared" si="3"/>
        <v>-3</v>
      </c>
      <c r="E26" s="24" t="s">
        <v>199</v>
      </c>
      <c r="F26" s="24" t="s">
        <v>195</v>
      </c>
      <c r="G26" s="24" t="s">
        <v>191</v>
      </c>
      <c r="H26" s="24" t="s">
        <v>179</v>
      </c>
      <c r="I26" s="24" t="s">
        <v>189</v>
      </c>
      <c r="J26" s="13" t="s">
        <v>5</v>
      </c>
      <c r="K26" s="33" t="s">
        <v>186</v>
      </c>
      <c r="L26" s="31">
        <v>4</v>
      </c>
      <c r="M26" s="18"/>
      <c r="N26" s="22">
        <v>0.01</v>
      </c>
      <c r="O26" s="22">
        <v>0.01</v>
      </c>
      <c r="P26" s="21">
        <v>1</v>
      </c>
      <c r="Q26" s="20">
        <v>1</v>
      </c>
      <c r="R26" s="21">
        <v>1</v>
      </c>
      <c r="S26" s="10">
        <f t="shared" ca="1" si="4"/>
        <v>0</v>
      </c>
      <c r="T26" s="19">
        <f t="shared" ca="1" si="5"/>
        <v>0</v>
      </c>
      <c r="U26" s="18">
        <f t="shared" ca="1" si="6"/>
        <v>0</v>
      </c>
      <c r="V26" s="19">
        <f t="shared" ca="1" si="7"/>
        <v>0</v>
      </c>
      <c r="W26" s="18">
        <f t="shared" ca="1" si="8"/>
        <v>0</v>
      </c>
      <c r="X26" s="19">
        <f t="shared" si="9"/>
        <v>0</v>
      </c>
      <c r="Y26" s="18">
        <f t="shared" si="10"/>
        <v>0</v>
      </c>
      <c r="Z26" s="12">
        <v>45463</v>
      </c>
      <c r="AA26" s="12">
        <v>45463</v>
      </c>
      <c r="AB26" s="12">
        <f t="shared" si="11"/>
        <v>45463</v>
      </c>
      <c r="AC26" s="11">
        <f t="shared" si="28"/>
        <v>45463</v>
      </c>
      <c r="AD26" s="12">
        <v>45470</v>
      </c>
      <c r="AE26" s="12">
        <v>45468</v>
      </c>
      <c r="AF26" s="12">
        <f t="shared" si="12"/>
        <v>45468</v>
      </c>
      <c r="AG26" s="11">
        <f t="shared" si="29"/>
        <v>45468</v>
      </c>
      <c r="AH26" s="12">
        <v>45505</v>
      </c>
      <c r="AI26" s="12">
        <v>45516</v>
      </c>
      <c r="AJ26" s="12">
        <f t="shared" si="13"/>
        <v>45516</v>
      </c>
      <c r="AK26" s="11">
        <v>45516</v>
      </c>
      <c r="AL26" s="12">
        <v>45540</v>
      </c>
      <c r="AM26" s="12">
        <v>45519</v>
      </c>
      <c r="AN26" s="12">
        <f t="shared" si="14"/>
        <v>45519</v>
      </c>
      <c r="AO26" s="11">
        <v>45519</v>
      </c>
      <c r="AP26" s="12">
        <v>45543</v>
      </c>
      <c r="AQ26" s="12">
        <v>45521</v>
      </c>
      <c r="AR26" s="12">
        <f t="shared" si="15"/>
        <v>45521</v>
      </c>
      <c r="AS26" s="11">
        <v>45521</v>
      </c>
      <c r="AT26" s="12">
        <v>45554</v>
      </c>
      <c r="AU26" s="12">
        <v>45528</v>
      </c>
      <c r="AV26" s="12">
        <f t="shared" si="16"/>
        <v>45528</v>
      </c>
      <c r="AW26" s="11">
        <v>45528</v>
      </c>
      <c r="AX26" s="12">
        <v>45574</v>
      </c>
      <c r="AY26" s="12">
        <v>45537</v>
      </c>
      <c r="AZ26" s="12">
        <f t="shared" si="30"/>
        <v>45537</v>
      </c>
      <c r="BA26" s="11">
        <v>45537</v>
      </c>
      <c r="BB26" s="12">
        <f t="shared" si="17"/>
        <v>45577</v>
      </c>
      <c r="BC26" s="12">
        <v>45540</v>
      </c>
      <c r="BD26" s="12">
        <f t="shared" si="31"/>
        <v>45540</v>
      </c>
      <c r="BE26" s="11">
        <f t="shared" si="32"/>
        <v>45540</v>
      </c>
      <c r="BF26" s="12">
        <f t="shared" si="18"/>
        <v>45589</v>
      </c>
      <c r="BG26" s="12">
        <v>45575</v>
      </c>
      <c r="BH26" s="12">
        <f t="shared" si="33"/>
        <v>45575</v>
      </c>
      <c r="BI26" s="11">
        <v>45575</v>
      </c>
      <c r="BJ26" s="12">
        <f t="shared" si="19"/>
        <v>45595</v>
      </c>
      <c r="BK26" s="12">
        <v>45595</v>
      </c>
      <c r="BL26" s="12">
        <f t="shared" si="34"/>
        <v>45595</v>
      </c>
      <c r="BM26" s="16">
        <v>45595</v>
      </c>
      <c r="BN26" s="12">
        <v>45634</v>
      </c>
      <c r="BO26" s="12">
        <v>45597</v>
      </c>
      <c r="BP26" s="12">
        <f t="shared" si="35"/>
        <v>45597</v>
      </c>
      <c r="BQ26" s="11">
        <v>45597</v>
      </c>
      <c r="BR26" s="12">
        <f t="shared" si="20"/>
        <v>45774</v>
      </c>
      <c r="BS26" s="12">
        <v>45843</v>
      </c>
      <c r="BT26" s="12">
        <v>45843</v>
      </c>
      <c r="BU26" s="11">
        <v>45843</v>
      </c>
      <c r="BV26" s="15">
        <f t="shared" si="21"/>
        <v>210</v>
      </c>
      <c r="BW26" s="12">
        <v>45784</v>
      </c>
      <c r="BX26" s="12">
        <v>45874</v>
      </c>
      <c r="BY26" s="12">
        <v>45874</v>
      </c>
      <c r="BZ26" s="11">
        <v>45874</v>
      </c>
      <c r="CA26" s="12">
        <f t="shared" si="22"/>
        <v>45799</v>
      </c>
      <c r="CB26" s="12">
        <v>45889</v>
      </c>
      <c r="CC26" s="12">
        <f t="shared" si="37"/>
        <v>45889</v>
      </c>
      <c r="CD26" s="11">
        <v>45889</v>
      </c>
      <c r="CE26" s="12">
        <f t="shared" si="23"/>
        <v>45826</v>
      </c>
      <c r="CF26" s="12">
        <v>45945</v>
      </c>
      <c r="CG26" s="12">
        <v>45945</v>
      </c>
      <c r="CH26" s="14">
        <f t="shared" si="24"/>
        <v>408</v>
      </c>
      <c r="CI26" s="11">
        <v>45945</v>
      </c>
      <c r="CJ26" s="12">
        <v>45829</v>
      </c>
      <c r="CK26" s="12">
        <v>46015</v>
      </c>
      <c r="CL26" s="12">
        <v>46052</v>
      </c>
      <c r="CM26" s="11">
        <v>46052</v>
      </c>
      <c r="CN26" s="12">
        <v>46009</v>
      </c>
      <c r="CO26" s="12">
        <v>46075</v>
      </c>
      <c r="CP26" s="12">
        <v>45975</v>
      </c>
      <c r="CQ26" s="11">
        <v>45975</v>
      </c>
      <c r="CR26" s="28"/>
      <c r="CS26" s="28"/>
      <c r="CT26" s="1">
        <f t="shared" ref="CT26:DC30" si="41">IF($AA26&lt;CT$1,1,0)*$AC$1+IF($AE26&lt;CT$1,1,0)*$AG$1+IF($AI26&lt;CT$1,1,0)*$AK$1+IF($AM26&lt;CT$1,1,0)*$AO$1+IF($AQ26&lt;CT$1,1,0)*$AS$1+IF($AU26&lt;CT$1,1,0)*$AW$1+IF($AY26&lt;CT$1,1,0)*$BA$1+IF($BC26&lt;CT$1,1,0)*$BE$1+IF($BG26&lt;CT$1,1,0)*$BI$1+IF($BK26&lt;CT$1,1,0)*$BM$1+IF($BO26&lt;CT$1,1,0)*$BQ$1+IF($BS26&lt;CT$1,1,0)*$BU$1+IF($BX26&lt;CT$1,1,0)*$BZ$1+IF($CB26&lt;CT$1,1,0)*$CD$1+IF($CF26&lt;CT$1,1,0)*$CI$1+IF($CK26&lt;CT$1,1,0)*$CM$1+IF($CO26&lt;CT$1,1,0)*$CQ$1</f>
        <v>0</v>
      </c>
      <c r="CU26" s="1">
        <f t="shared" si="41"/>
        <v>0</v>
      </c>
      <c r="CV26" s="1">
        <f t="shared" si="41"/>
        <v>0</v>
      </c>
      <c r="CW26" s="1">
        <f t="shared" si="41"/>
        <v>0</v>
      </c>
      <c r="CX26" s="1">
        <f t="shared" si="41"/>
        <v>0</v>
      </c>
      <c r="CY26" s="1">
        <f t="shared" si="41"/>
        <v>0</v>
      </c>
      <c r="CZ26" s="1">
        <f t="shared" si="41"/>
        <v>0</v>
      </c>
      <c r="DA26" s="1">
        <f t="shared" si="41"/>
        <v>0</v>
      </c>
      <c r="DB26" s="1">
        <f t="shared" si="41"/>
        <v>0</v>
      </c>
      <c r="DC26" s="1">
        <f t="shared" si="41"/>
        <v>0</v>
      </c>
      <c r="DD26" s="1">
        <f t="shared" ref="DD26:DM30" si="42">IF($AA26&lt;DD$1,1,0)*$AC$1+IF($AE26&lt;DD$1,1,0)*$AG$1+IF($AI26&lt;DD$1,1,0)*$AK$1+IF($AM26&lt;DD$1,1,0)*$AO$1+IF($AQ26&lt;DD$1,1,0)*$AS$1+IF($AU26&lt;DD$1,1,0)*$AW$1+IF($AY26&lt;DD$1,1,0)*$BA$1+IF($BC26&lt;DD$1,1,0)*$BE$1+IF($BG26&lt;DD$1,1,0)*$BI$1+IF($BK26&lt;DD$1,1,0)*$BM$1+IF($BO26&lt;DD$1,1,0)*$BQ$1+IF($BS26&lt;DD$1,1,0)*$BU$1+IF($BX26&lt;DD$1,1,0)*$BZ$1+IF($CB26&lt;DD$1,1,0)*$CD$1+IF($CF26&lt;DD$1,1,0)*$CI$1+IF($CK26&lt;DD$1,1,0)*$CM$1+IF($CO26&lt;DD$1,1,0)*$CQ$1</f>
        <v>0</v>
      </c>
      <c r="DE26" s="1">
        <f t="shared" si="42"/>
        <v>0</v>
      </c>
      <c r="DF26" s="1">
        <f t="shared" si="42"/>
        <v>0</v>
      </c>
      <c r="DG26" s="1">
        <f t="shared" si="42"/>
        <v>0</v>
      </c>
      <c r="DH26" s="1">
        <f t="shared" si="42"/>
        <v>0</v>
      </c>
      <c r="DI26" s="1">
        <f t="shared" si="42"/>
        <v>0</v>
      </c>
      <c r="DJ26" s="1">
        <f t="shared" si="42"/>
        <v>0</v>
      </c>
      <c r="DK26" s="1">
        <f t="shared" si="42"/>
        <v>0</v>
      </c>
      <c r="DL26" s="1">
        <f t="shared" si="42"/>
        <v>0</v>
      </c>
      <c r="DM26" s="1">
        <f t="shared" si="42"/>
        <v>0</v>
      </c>
      <c r="DN26" s="1">
        <f t="shared" ref="DN26:DT30" si="43">IF($AA26&lt;DN$1,1,0)*$AC$1+IF($AE26&lt;DN$1,1,0)*$AG$1+IF($AI26&lt;DN$1,1,0)*$AK$1+IF($AM26&lt;DN$1,1,0)*$AO$1+IF($AQ26&lt;DN$1,1,0)*$AS$1+IF($AU26&lt;DN$1,1,0)*$AW$1+IF($AY26&lt;DN$1,1,0)*$BA$1+IF($BC26&lt;DN$1,1,0)*$BE$1+IF($BG26&lt;DN$1,1,0)*$BI$1+IF($BK26&lt;DN$1,1,0)*$BM$1+IF($BO26&lt;DN$1,1,0)*$BQ$1+IF($BS26&lt;DN$1,1,0)*$BU$1+IF($BX26&lt;DN$1,1,0)*$BZ$1+IF($CB26&lt;DN$1,1,0)*$CD$1+IF($CF26&lt;DN$1,1,0)*$CI$1+IF($CK26&lt;DN$1,1,0)*$CM$1+IF($CO26&lt;DN$1,1,0)*$CQ$1</f>
        <v>0</v>
      </c>
      <c r="DO26" s="1">
        <f t="shared" si="43"/>
        <v>0</v>
      </c>
      <c r="DP26" s="1">
        <f t="shared" si="43"/>
        <v>0</v>
      </c>
      <c r="DQ26" s="1">
        <f t="shared" si="43"/>
        <v>0</v>
      </c>
      <c r="DR26" s="1">
        <f t="shared" si="43"/>
        <v>0</v>
      </c>
      <c r="DS26" s="1">
        <f t="shared" si="43"/>
        <v>0</v>
      </c>
      <c r="DT26" s="1">
        <f t="shared" si="43"/>
        <v>0</v>
      </c>
    </row>
    <row r="27" spans="1:124">
      <c r="A27" s="27" t="s">
        <v>204</v>
      </c>
      <c r="B27" s="26" t="str">
        <f t="shared" si="2"/>
        <v>7G-3</v>
      </c>
      <c r="C27" s="26" t="s">
        <v>201</v>
      </c>
      <c r="D27" s="25" t="str">
        <f t="shared" si="3"/>
        <v>-3</v>
      </c>
      <c r="E27" s="24" t="s">
        <v>199</v>
      </c>
      <c r="F27" s="24" t="s">
        <v>195</v>
      </c>
      <c r="G27" s="24" t="s">
        <v>192</v>
      </c>
      <c r="H27" s="24" t="s">
        <v>181</v>
      </c>
      <c r="I27" s="24" t="s">
        <v>189</v>
      </c>
      <c r="J27" s="13" t="s">
        <v>4</v>
      </c>
      <c r="K27" s="33" t="s">
        <v>186</v>
      </c>
      <c r="L27" s="31">
        <v>1</v>
      </c>
      <c r="M27" s="18"/>
      <c r="N27" s="22">
        <v>0.01</v>
      </c>
      <c r="O27" s="22">
        <v>0.01</v>
      </c>
      <c r="P27" s="21">
        <v>1</v>
      </c>
      <c r="Q27" s="20">
        <v>1</v>
      </c>
      <c r="R27" s="21">
        <v>1</v>
      </c>
      <c r="S27" s="10">
        <f t="shared" ca="1" si="4"/>
        <v>0</v>
      </c>
      <c r="T27" s="19">
        <f t="shared" ca="1" si="5"/>
        <v>0</v>
      </c>
      <c r="U27" s="18">
        <f t="shared" ca="1" si="6"/>
        <v>0</v>
      </c>
      <c r="V27" s="19">
        <f t="shared" ca="1" si="7"/>
        <v>0</v>
      </c>
      <c r="W27" s="18">
        <f t="shared" ca="1" si="8"/>
        <v>0</v>
      </c>
      <c r="X27" s="19">
        <f t="shared" si="9"/>
        <v>0</v>
      </c>
      <c r="Y27" s="18">
        <f t="shared" si="10"/>
        <v>0</v>
      </c>
      <c r="Z27" s="12">
        <v>45463</v>
      </c>
      <c r="AA27" s="12">
        <v>45463</v>
      </c>
      <c r="AB27" s="12">
        <f t="shared" si="11"/>
        <v>45463</v>
      </c>
      <c r="AC27" s="11">
        <f t="shared" si="28"/>
        <v>45463</v>
      </c>
      <c r="AD27" s="12">
        <v>45470</v>
      </c>
      <c r="AE27" s="12">
        <v>45468</v>
      </c>
      <c r="AF27" s="12">
        <f t="shared" si="12"/>
        <v>45468</v>
      </c>
      <c r="AG27" s="11">
        <f t="shared" si="29"/>
        <v>45468</v>
      </c>
      <c r="AH27" s="12">
        <v>45505</v>
      </c>
      <c r="AI27" s="12">
        <v>45516</v>
      </c>
      <c r="AJ27" s="12">
        <f t="shared" si="13"/>
        <v>45516</v>
      </c>
      <c r="AK27" s="11">
        <v>45516</v>
      </c>
      <c r="AL27" s="12">
        <v>45540</v>
      </c>
      <c r="AM27" s="12">
        <v>45519</v>
      </c>
      <c r="AN27" s="12">
        <f t="shared" si="14"/>
        <v>45519</v>
      </c>
      <c r="AO27" s="11">
        <v>45519</v>
      </c>
      <c r="AP27" s="12">
        <v>45543</v>
      </c>
      <c r="AQ27" s="12">
        <v>45521</v>
      </c>
      <c r="AR27" s="12">
        <f t="shared" si="15"/>
        <v>45521</v>
      </c>
      <c r="AS27" s="11">
        <v>45521</v>
      </c>
      <c r="AT27" s="12">
        <v>45554</v>
      </c>
      <c r="AU27" s="12">
        <v>45528</v>
      </c>
      <c r="AV27" s="12">
        <f t="shared" si="16"/>
        <v>45528</v>
      </c>
      <c r="AW27" s="11">
        <v>45528</v>
      </c>
      <c r="AX27" s="12">
        <v>45574</v>
      </c>
      <c r="AY27" s="12">
        <v>45737</v>
      </c>
      <c r="AZ27" s="12">
        <f t="shared" si="30"/>
        <v>45737</v>
      </c>
      <c r="BA27" s="11">
        <v>45737</v>
      </c>
      <c r="BB27" s="12">
        <f t="shared" si="17"/>
        <v>45577</v>
      </c>
      <c r="BC27" s="12">
        <v>45740</v>
      </c>
      <c r="BD27" s="12">
        <f t="shared" si="31"/>
        <v>45740</v>
      </c>
      <c r="BE27" s="11">
        <f t="shared" si="32"/>
        <v>45740</v>
      </c>
      <c r="BF27" s="12">
        <f t="shared" si="18"/>
        <v>45589</v>
      </c>
      <c r="BG27" s="12">
        <v>45575</v>
      </c>
      <c r="BH27" s="12">
        <f t="shared" si="33"/>
        <v>45575</v>
      </c>
      <c r="BI27" s="11">
        <v>45575</v>
      </c>
      <c r="BJ27" s="12">
        <f t="shared" si="19"/>
        <v>45595</v>
      </c>
      <c r="BK27" s="12">
        <v>45595</v>
      </c>
      <c r="BL27" s="12">
        <f t="shared" si="34"/>
        <v>45595</v>
      </c>
      <c r="BM27" s="16">
        <v>45595</v>
      </c>
      <c r="BN27" s="12">
        <v>45634</v>
      </c>
      <c r="BO27" s="12">
        <v>45597</v>
      </c>
      <c r="BP27" s="12">
        <f t="shared" si="35"/>
        <v>45597</v>
      </c>
      <c r="BQ27" s="11">
        <v>45597</v>
      </c>
      <c r="BR27" s="12">
        <f t="shared" si="20"/>
        <v>45774</v>
      </c>
      <c r="BS27" s="12">
        <v>46013</v>
      </c>
      <c r="BT27" s="12">
        <v>46015</v>
      </c>
      <c r="BU27" s="11">
        <v>46015</v>
      </c>
      <c r="BV27" s="15">
        <f t="shared" si="21"/>
        <v>210</v>
      </c>
      <c r="BW27" s="12">
        <v>45784</v>
      </c>
      <c r="BX27" s="12">
        <v>46018</v>
      </c>
      <c r="BY27" s="12">
        <v>46037</v>
      </c>
      <c r="BZ27" s="11">
        <v>46037</v>
      </c>
      <c r="CA27" s="12">
        <f t="shared" si="22"/>
        <v>45799</v>
      </c>
      <c r="CB27" s="12">
        <v>46028</v>
      </c>
      <c r="CC27" s="12">
        <f t="shared" ref="CC27:CC30" si="44">BY27+10</f>
        <v>46047</v>
      </c>
      <c r="CD27" s="11">
        <v>46047</v>
      </c>
      <c r="CE27" s="12">
        <f t="shared" si="23"/>
        <v>45826</v>
      </c>
      <c r="CF27" s="12">
        <v>46043</v>
      </c>
      <c r="CG27" s="12">
        <v>46063</v>
      </c>
      <c r="CH27" s="14">
        <f t="shared" si="24"/>
        <v>326</v>
      </c>
      <c r="CI27" s="11">
        <v>46063</v>
      </c>
      <c r="CJ27" s="12">
        <v>45829</v>
      </c>
      <c r="CK27" s="12">
        <v>46113</v>
      </c>
      <c r="CL27" s="12">
        <f>CG27+70</f>
        <v>46133</v>
      </c>
      <c r="CM27" s="11">
        <v>46133</v>
      </c>
      <c r="CN27" s="12">
        <v>46009</v>
      </c>
      <c r="CO27" s="12">
        <v>46173</v>
      </c>
      <c r="CP27" s="12">
        <v>45975</v>
      </c>
      <c r="CQ27" s="11">
        <v>45975</v>
      </c>
      <c r="CR27" s="28"/>
      <c r="CS27" s="28"/>
      <c r="CT27" s="1">
        <f t="shared" si="41"/>
        <v>0</v>
      </c>
      <c r="CU27" s="1">
        <f t="shared" si="41"/>
        <v>0</v>
      </c>
      <c r="CV27" s="1">
        <f t="shared" si="41"/>
        <v>0</v>
      </c>
      <c r="CW27" s="1">
        <f t="shared" si="41"/>
        <v>0</v>
      </c>
      <c r="CX27" s="1">
        <f t="shared" si="41"/>
        <v>0</v>
      </c>
      <c r="CY27" s="1">
        <f t="shared" si="41"/>
        <v>0</v>
      </c>
      <c r="CZ27" s="1">
        <f t="shared" si="41"/>
        <v>0</v>
      </c>
      <c r="DA27" s="1">
        <f t="shared" si="41"/>
        <v>0</v>
      </c>
      <c r="DB27" s="1">
        <f t="shared" si="41"/>
        <v>0</v>
      </c>
      <c r="DC27" s="1">
        <f t="shared" si="41"/>
        <v>0</v>
      </c>
      <c r="DD27" s="1">
        <f t="shared" si="42"/>
        <v>0</v>
      </c>
      <c r="DE27" s="1">
        <f t="shared" si="42"/>
        <v>0</v>
      </c>
      <c r="DF27" s="1">
        <f t="shared" si="42"/>
        <v>0</v>
      </c>
      <c r="DG27" s="1">
        <f t="shared" si="42"/>
        <v>0</v>
      </c>
      <c r="DH27" s="1">
        <f t="shared" si="42"/>
        <v>0</v>
      </c>
      <c r="DI27" s="1">
        <f t="shared" si="42"/>
        <v>0</v>
      </c>
      <c r="DJ27" s="1">
        <f t="shared" si="42"/>
        <v>0</v>
      </c>
      <c r="DK27" s="1">
        <f t="shared" si="42"/>
        <v>0</v>
      </c>
      <c r="DL27" s="1">
        <f t="shared" si="42"/>
        <v>0</v>
      </c>
      <c r="DM27" s="1">
        <f t="shared" si="42"/>
        <v>0</v>
      </c>
      <c r="DN27" s="1">
        <f t="shared" si="43"/>
        <v>0</v>
      </c>
      <c r="DO27" s="1">
        <f t="shared" si="43"/>
        <v>0</v>
      </c>
      <c r="DP27" s="1">
        <f t="shared" si="43"/>
        <v>0</v>
      </c>
      <c r="DQ27" s="1">
        <f t="shared" si="43"/>
        <v>0</v>
      </c>
      <c r="DR27" s="1">
        <f t="shared" si="43"/>
        <v>0</v>
      </c>
      <c r="DS27" s="1">
        <f t="shared" si="43"/>
        <v>0</v>
      </c>
      <c r="DT27" s="1">
        <f t="shared" si="43"/>
        <v>0</v>
      </c>
    </row>
    <row r="28" spans="1:124">
      <c r="A28" s="27" t="s">
        <v>204</v>
      </c>
      <c r="B28" s="26" t="str">
        <f t="shared" si="2"/>
        <v>7G-3</v>
      </c>
      <c r="C28" s="26" t="s">
        <v>201</v>
      </c>
      <c r="D28" s="25" t="str">
        <f t="shared" si="3"/>
        <v>-3</v>
      </c>
      <c r="E28" s="24" t="s">
        <v>199</v>
      </c>
      <c r="F28" s="24" t="s">
        <v>195</v>
      </c>
      <c r="G28" s="24" t="s">
        <v>192</v>
      </c>
      <c r="H28" s="24" t="s">
        <v>179</v>
      </c>
      <c r="I28" s="24" t="s">
        <v>188</v>
      </c>
      <c r="J28" s="13" t="s">
        <v>3</v>
      </c>
      <c r="K28" s="33" t="s">
        <v>186</v>
      </c>
      <c r="L28" s="31">
        <v>1</v>
      </c>
      <c r="M28" s="18"/>
      <c r="N28" s="22">
        <v>0.01</v>
      </c>
      <c r="O28" s="22">
        <v>0.01</v>
      </c>
      <c r="P28" s="21">
        <v>1</v>
      </c>
      <c r="Q28" s="20">
        <v>1</v>
      </c>
      <c r="R28" s="21">
        <v>1</v>
      </c>
      <c r="S28" s="10">
        <f t="shared" ca="1" si="4"/>
        <v>0</v>
      </c>
      <c r="T28" s="19">
        <f t="shared" ca="1" si="5"/>
        <v>0</v>
      </c>
      <c r="U28" s="18">
        <f t="shared" ca="1" si="6"/>
        <v>0</v>
      </c>
      <c r="V28" s="19">
        <f t="shared" ca="1" si="7"/>
        <v>0</v>
      </c>
      <c r="W28" s="18">
        <f t="shared" ca="1" si="8"/>
        <v>0</v>
      </c>
      <c r="X28" s="19">
        <f t="shared" si="9"/>
        <v>0</v>
      </c>
      <c r="Y28" s="18">
        <f t="shared" si="10"/>
        <v>0</v>
      </c>
      <c r="Z28" s="12">
        <v>45463</v>
      </c>
      <c r="AA28" s="12">
        <v>45463</v>
      </c>
      <c r="AB28" s="12">
        <f t="shared" si="11"/>
        <v>45463</v>
      </c>
      <c r="AC28" s="11">
        <f t="shared" si="28"/>
        <v>45463</v>
      </c>
      <c r="AD28" s="12">
        <v>45470</v>
      </c>
      <c r="AE28" s="12">
        <v>45468</v>
      </c>
      <c r="AF28" s="12">
        <f t="shared" si="12"/>
        <v>45468</v>
      </c>
      <c r="AG28" s="11">
        <f t="shared" si="29"/>
        <v>45468</v>
      </c>
      <c r="AH28" s="12">
        <v>45505</v>
      </c>
      <c r="AI28" s="12">
        <v>45516</v>
      </c>
      <c r="AJ28" s="12">
        <f t="shared" si="13"/>
        <v>45516</v>
      </c>
      <c r="AK28" s="11">
        <v>45516</v>
      </c>
      <c r="AL28" s="12">
        <v>45540</v>
      </c>
      <c r="AM28" s="12">
        <v>45519</v>
      </c>
      <c r="AN28" s="12">
        <f t="shared" si="14"/>
        <v>45519</v>
      </c>
      <c r="AO28" s="11">
        <v>45519</v>
      </c>
      <c r="AP28" s="12">
        <v>45543</v>
      </c>
      <c r="AQ28" s="12">
        <v>45521</v>
      </c>
      <c r="AR28" s="12">
        <f t="shared" si="15"/>
        <v>45521</v>
      </c>
      <c r="AS28" s="11">
        <v>45521</v>
      </c>
      <c r="AT28" s="12">
        <v>45554</v>
      </c>
      <c r="AU28" s="12">
        <v>45528</v>
      </c>
      <c r="AV28" s="12">
        <f t="shared" si="16"/>
        <v>45528</v>
      </c>
      <c r="AW28" s="11">
        <v>45528</v>
      </c>
      <c r="AX28" s="12">
        <v>45574</v>
      </c>
      <c r="AY28" s="12">
        <v>45737</v>
      </c>
      <c r="AZ28" s="12">
        <f t="shared" si="30"/>
        <v>45737</v>
      </c>
      <c r="BA28" s="11">
        <v>45737</v>
      </c>
      <c r="BB28" s="12">
        <f t="shared" si="17"/>
        <v>45577</v>
      </c>
      <c r="BC28" s="12">
        <v>45740</v>
      </c>
      <c r="BD28" s="12">
        <f t="shared" si="31"/>
        <v>45740</v>
      </c>
      <c r="BE28" s="11">
        <f t="shared" si="32"/>
        <v>45740</v>
      </c>
      <c r="BF28" s="12">
        <f t="shared" si="18"/>
        <v>45589</v>
      </c>
      <c r="BG28" s="12">
        <v>45575</v>
      </c>
      <c r="BH28" s="12">
        <f t="shared" si="33"/>
        <v>45575</v>
      </c>
      <c r="BI28" s="11">
        <v>45575</v>
      </c>
      <c r="BJ28" s="12">
        <f t="shared" si="19"/>
        <v>45595</v>
      </c>
      <c r="BK28" s="12">
        <v>45595</v>
      </c>
      <c r="BL28" s="12">
        <f t="shared" si="34"/>
        <v>45595</v>
      </c>
      <c r="BM28" s="16">
        <v>45595</v>
      </c>
      <c r="BN28" s="12">
        <v>45634</v>
      </c>
      <c r="BO28" s="12">
        <v>45597</v>
      </c>
      <c r="BP28" s="12">
        <f t="shared" si="35"/>
        <v>45597</v>
      </c>
      <c r="BQ28" s="11">
        <v>45597</v>
      </c>
      <c r="BR28" s="12">
        <f t="shared" si="20"/>
        <v>45774</v>
      </c>
      <c r="BS28" s="12">
        <v>46013</v>
      </c>
      <c r="BT28" s="12">
        <v>46015</v>
      </c>
      <c r="BU28" s="11">
        <v>46015</v>
      </c>
      <c r="BV28" s="15">
        <f t="shared" si="21"/>
        <v>210</v>
      </c>
      <c r="BW28" s="12">
        <v>45784</v>
      </c>
      <c r="BX28" s="12">
        <v>46018</v>
      </c>
      <c r="BY28" s="12">
        <v>46037</v>
      </c>
      <c r="BZ28" s="11">
        <v>46037</v>
      </c>
      <c r="CA28" s="12">
        <f t="shared" si="22"/>
        <v>45799</v>
      </c>
      <c r="CB28" s="12">
        <v>46028</v>
      </c>
      <c r="CC28" s="12">
        <f t="shared" si="44"/>
        <v>46047</v>
      </c>
      <c r="CD28" s="11">
        <v>46047</v>
      </c>
      <c r="CE28" s="12">
        <f t="shared" si="23"/>
        <v>45826</v>
      </c>
      <c r="CF28" s="12">
        <v>46043</v>
      </c>
      <c r="CG28" s="12">
        <v>46063</v>
      </c>
      <c r="CH28" s="14">
        <f t="shared" si="24"/>
        <v>326</v>
      </c>
      <c r="CI28" s="11">
        <v>46063</v>
      </c>
      <c r="CJ28" s="12">
        <v>45829</v>
      </c>
      <c r="CK28" s="12">
        <v>46113</v>
      </c>
      <c r="CL28" s="12">
        <f>CG28+70</f>
        <v>46133</v>
      </c>
      <c r="CM28" s="11">
        <v>46133</v>
      </c>
      <c r="CN28" s="12">
        <v>46009</v>
      </c>
      <c r="CO28" s="12">
        <v>46173</v>
      </c>
      <c r="CP28" s="12">
        <v>45975</v>
      </c>
      <c r="CQ28" s="11">
        <v>45975</v>
      </c>
      <c r="CR28" s="28"/>
      <c r="CS28" s="28"/>
      <c r="CT28" s="1">
        <f t="shared" si="41"/>
        <v>0</v>
      </c>
      <c r="CU28" s="1">
        <f t="shared" si="41"/>
        <v>0</v>
      </c>
      <c r="CV28" s="1">
        <f t="shared" si="41"/>
        <v>0</v>
      </c>
      <c r="CW28" s="1">
        <f t="shared" si="41"/>
        <v>0</v>
      </c>
      <c r="CX28" s="1">
        <f t="shared" si="41"/>
        <v>0</v>
      </c>
      <c r="CY28" s="1">
        <f t="shared" si="41"/>
        <v>0</v>
      </c>
      <c r="CZ28" s="1">
        <f t="shared" si="41"/>
        <v>0</v>
      </c>
      <c r="DA28" s="1">
        <f t="shared" si="41"/>
        <v>0</v>
      </c>
      <c r="DB28" s="1">
        <f t="shared" si="41"/>
        <v>0</v>
      </c>
      <c r="DC28" s="1">
        <f t="shared" si="41"/>
        <v>0</v>
      </c>
      <c r="DD28" s="1">
        <f t="shared" si="42"/>
        <v>0</v>
      </c>
      <c r="DE28" s="1">
        <f t="shared" si="42"/>
        <v>0</v>
      </c>
      <c r="DF28" s="1">
        <f t="shared" si="42"/>
        <v>0</v>
      </c>
      <c r="DG28" s="1">
        <f t="shared" si="42"/>
        <v>0</v>
      </c>
      <c r="DH28" s="1">
        <f t="shared" si="42"/>
        <v>0</v>
      </c>
      <c r="DI28" s="1">
        <f t="shared" si="42"/>
        <v>0</v>
      </c>
      <c r="DJ28" s="1">
        <f t="shared" si="42"/>
        <v>0</v>
      </c>
      <c r="DK28" s="1">
        <f t="shared" si="42"/>
        <v>0</v>
      </c>
      <c r="DL28" s="1">
        <f t="shared" si="42"/>
        <v>0</v>
      </c>
      <c r="DM28" s="1">
        <f t="shared" si="42"/>
        <v>0</v>
      </c>
      <c r="DN28" s="1">
        <f t="shared" si="43"/>
        <v>0</v>
      </c>
      <c r="DO28" s="1">
        <f t="shared" si="43"/>
        <v>0</v>
      </c>
      <c r="DP28" s="1">
        <f t="shared" si="43"/>
        <v>0</v>
      </c>
      <c r="DQ28" s="1">
        <f t="shared" si="43"/>
        <v>0</v>
      </c>
      <c r="DR28" s="1">
        <f t="shared" si="43"/>
        <v>0</v>
      </c>
      <c r="DS28" s="1">
        <f t="shared" si="43"/>
        <v>0</v>
      </c>
      <c r="DT28" s="1">
        <f t="shared" si="43"/>
        <v>0</v>
      </c>
    </row>
    <row r="29" spans="1:124">
      <c r="A29" s="27" t="s">
        <v>204</v>
      </c>
      <c r="B29" s="26" t="str">
        <f t="shared" si="2"/>
        <v>7G-3</v>
      </c>
      <c r="C29" s="26" t="s">
        <v>201</v>
      </c>
      <c r="D29" s="25" t="str">
        <f t="shared" si="3"/>
        <v>-3</v>
      </c>
      <c r="E29" s="24" t="s">
        <v>199</v>
      </c>
      <c r="F29" s="24" t="s">
        <v>195</v>
      </c>
      <c r="G29" s="24" t="s">
        <v>192</v>
      </c>
      <c r="H29" s="24" t="s">
        <v>180</v>
      </c>
      <c r="I29" s="24" t="s">
        <v>188</v>
      </c>
      <c r="J29" s="13" t="s">
        <v>2</v>
      </c>
      <c r="K29" s="33" t="s">
        <v>186</v>
      </c>
      <c r="L29" s="31">
        <v>1</v>
      </c>
      <c r="M29" s="18"/>
      <c r="N29" s="22">
        <v>0.01</v>
      </c>
      <c r="O29" s="22">
        <v>0.01</v>
      </c>
      <c r="P29" s="21">
        <v>1</v>
      </c>
      <c r="Q29" s="20">
        <v>1</v>
      </c>
      <c r="R29" s="21">
        <v>1</v>
      </c>
      <c r="S29" s="10">
        <f t="shared" ca="1" si="4"/>
        <v>0</v>
      </c>
      <c r="T29" s="19">
        <f t="shared" ca="1" si="5"/>
        <v>0</v>
      </c>
      <c r="U29" s="18">
        <f t="shared" ca="1" si="6"/>
        <v>0</v>
      </c>
      <c r="V29" s="19">
        <f t="shared" ca="1" si="7"/>
        <v>0</v>
      </c>
      <c r="W29" s="18">
        <f t="shared" ca="1" si="8"/>
        <v>0</v>
      </c>
      <c r="X29" s="19">
        <f t="shared" si="9"/>
        <v>0</v>
      </c>
      <c r="Y29" s="18">
        <f t="shared" si="10"/>
        <v>0</v>
      </c>
      <c r="Z29" s="12">
        <v>45463</v>
      </c>
      <c r="AA29" s="12">
        <v>45463</v>
      </c>
      <c r="AB29" s="12">
        <f t="shared" si="11"/>
        <v>45463</v>
      </c>
      <c r="AC29" s="11">
        <f t="shared" si="28"/>
        <v>45463</v>
      </c>
      <c r="AD29" s="12">
        <v>45470</v>
      </c>
      <c r="AE29" s="12">
        <v>45468</v>
      </c>
      <c r="AF29" s="12">
        <f t="shared" si="12"/>
        <v>45468</v>
      </c>
      <c r="AG29" s="11">
        <f t="shared" si="29"/>
        <v>45468</v>
      </c>
      <c r="AH29" s="12">
        <v>45505</v>
      </c>
      <c r="AI29" s="12">
        <v>45516</v>
      </c>
      <c r="AJ29" s="12">
        <f t="shared" si="13"/>
        <v>45516</v>
      </c>
      <c r="AK29" s="11">
        <v>45516</v>
      </c>
      <c r="AL29" s="12">
        <v>45540</v>
      </c>
      <c r="AM29" s="12">
        <v>45519</v>
      </c>
      <c r="AN29" s="12">
        <f t="shared" si="14"/>
        <v>45519</v>
      </c>
      <c r="AO29" s="11">
        <v>45519</v>
      </c>
      <c r="AP29" s="12">
        <v>45543</v>
      </c>
      <c r="AQ29" s="12">
        <v>45521</v>
      </c>
      <c r="AR29" s="12">
        <f t="shared" si="15"/>
        <v>45521</v>
      </c>
      <c r="AS29" s="11">
        <v>45521</v>
      </c>
      <c r="AT29" s="12">
        <v>45554</v>
      </c>
      <c r="AU29" s="12">
        <v>45528</v>
      </c>
      <c r="AV29" s="12">
        <f t="shared" si="16"/>
        <v>45528</v>
      </c>
      <c r="AW29" s="11">
        <v>45528</v>
      </c>
      <c r="AX29" s="12">
        <v>45574</v>
      </c>
      <c r="AY29" s="12">
        <v>45737</v>
      </c>
      <c r="AZ29" s="12">
        <f t="shared" si="30"/>
        <v>45737</v>
      </c>
      <c r="BA29" s="11">
        <v>45737</v>
      </c>
      <c r="BB29" s="12">
        <f t="shared" si="17"/>
        <v>45577</v>
      </c>
      <c r="BC29" s="12">
        <v>45740</v>
      </c>
      <c r="BD29" s="12">
        <f t="shared" si="31"/>
        <v>45740</v>
      </c>
      <c r="BE29" s="11">
        <f t="shared" si="32"/>
        <v>45740</v>
      </c>
      <c r="BF29" s="12">
        <f t="shared" si="18"/>
        <v>45589</v>
      </c>
      <c r="BG29" s="12">
        <v>45575</v>
      </c>
      <c r="BH29" s="12">
        <f t="shared" si="33"/>
        <v>45575</v>
      </c>
      <c r="BI29" s="11">
        <v>45575</v>
      </c>
      <c r="BJ29" s="12">
        <f t="shared" si="19"/>
        <v>45595</v>
      </c>
      <c r="BK29" s="12">
        <v>45595</v>
      </c>
      <c r="BL29" s="12">
        <f t="shared" si="34"/>
        <v>45595</v>
      </c>
      <c r="BM29" s="16">
        <v>45595</v>
      </c>
      <c r="BN29" s="12">
        <v>45634</v>
      </c>
      <c r="BO29" s="12">
        <v>45597</v>
      </c>
      <c r="BP29" s="12">
        <f t="shared" si="35"/>
        <v>45597</v>
      </c>
      <c r="BQ29" s="11">
        <v>45597</v>
      </c>
      <c r="BR29" s="12">
        <f t="shared" si="20"/>
        <v>45774</v>
      </c>
      <c r="BS29" s="12">
        <v>46013</v>
      </c>
      <c r="BT29" s="12">
        <v>46015</v>
      </c>
      <c r="BU29" s="11">
        <v>46015</v>
      </c>
      <c r="BV29" s="15">
        <f t="shared" si="21"/>
        <v>210</v>
      </c>
      <c r="BW29" s="12">
        <v>45784</v>
      </c>
      <c r="BX29" s="12">
        <v>46018</v>
      </c>
      <c r="BY29" s="12">
        <v>46037</v>
      </c>
      <c r="BZ29" s="11">
        <v>46037</v>
      </c>
      <c r="CA29" s="12">
        <f t="shared" si="22"/>
        <v>45799</v>
      </c>
      <c r="CB29" s="12">
        <v>46028</v>
      </c>
      <c r="CC29" s="12">
        <f t="shared" si="44"/>
        <v>46047</v>
      </c>
      <c r="CD29" s="11">
        <v>46047</v>
      </c>
      <c r="CE29" s="12">
        <f t="shared" si="23"/>
        <v>45826</v>
      </c>
      <c r="CF29" s="12">
        <v>46043</v>
      </c>
      <c r="CG29" s="12">
        <v>46063</v>
      </c>
      <c r="CH29" s="14">
        <f t="shared" si="24"/>
        <v>326</v>
      </c>
      <c r="CI29" s="11">
        <v>46063</v>
      </c>
      <c r="CJ29" s="12">
        <v>45829</v>
      </c>
      <c r="CK29" s="12">
        <v>46113</v>
      </c>
      <c r="CL29" s="12">
        <f>CG29+70</f>
        <v>46133</v>
      </c>
      <c r="CM29" s="11">
        <v>46133</v>
      </c>
      <c r="CN29" s="12">
        <v>46009</v>
      </c>
      <c r="CO29" s="12">
        <v>46173</v>
      </c>
      <c r="CP29" s="12">
        <v>45975</v>
      </c>
      <c r="CQ29" s="11">
        <v>45975</v>
      </c>
      <c r="CR29" s="28"/>
      <c r="CS29" s="28"/>
      <c r="CT29" s="1">
        <f t="shared" si="41"/>
        <v>0</v>
      </c>
      <c r="CU29" s="1">
        <f t="shared" si="41"/>
        <v>0</v>
      </c>
      <c r="CV29" s="1">
        <f t="shared" si="41"/>
        <v>0</v>
      </c>
      <c r="CW29" s="1">
        <f t="shared" si="41"/>
        <v>0</v>
      </c>
      <c r="CX29" s="1">
        <f t="shared" si="41"/>
        <v>0</v>
      </c>
      <c r="CY29" s="1">
        <f t="shared" si="41"/>
        <v>0</v>
      </c>
      <c r="CZ29" s="1">
        <f t="shared" si="41"/>
        <v>0</v>
      </c>
      <c r="DA29" s="1">
        <f t="shared" si="41"/>
        <v>0</v>
      </c>
      <c r="DB29" s="1">
        <f t="shared" si="41"/>
        <v>0</v>
      </c>
      <c r="DC29" s="1">
        <f t="shared" si="41"/>
        <v>0</v>
      </c>
      <c r="DD29" s="1">
        <f t="shared" si="42"/>
        <v>0</v>
      </c>
      <c r="DE29" s="1">
        <f t="shared" si="42"/>
        <v>0</v>
      </c>
      <c r="DF29" s="1">
        <f t="shared" si="42"/>
        <v>0</v>
      </c>
      <c r="DG29" s="1">
        <f t="shared" si="42"/>
        <v>0</v>
      </c>
      <c r="DH29" s="1">
        <f t="shared" si="42"/>
        <v>0</v>
      </c>
      <c r="DI29" s="1">
        <f t="shared" si="42"/>
        <v>0</v>
      </c>
      <c r="DJ29" s="1">
        <f t="shared" si="42"/>
        <v>0</v>
      </c>
      <c r="DK29" s="1">
        <f t="shared" si="42"/>
        <v>0</v>
      </c>
      <c r="DL29" s="1">
        <f t="shared" si="42"/>
        <v>0</v>
      </c>
      <c r="DM29" s="1">
        <f t="shared" si="42"/>
        <v>0</v>
      </c>
      <c r="DN29" s="1">
        <f t="shared" si="43"/>
        <v>0</v>
      </c>
      <c r="DO29" s="1">
        <f t="shared" si="43"/>
        <v>0</v>
      </c>
      <c r="DP29" s="1">
        <f t="shared" si="43"/>
        <v>0</v>
      </c>
      <c r="DQ29" s="1">
        <f t="shared" si="43"/>
        <v>0</v>
      </c>
      <c r="DR29" s="1">
        <f t="shared" si="43"/>
        <v>0</v>
      </c>
      <c r="DS29" s="1">
        <f t="shared" si="43"/>
        <v>0</v>
      </c>
      <c r="DT29" s="1">
        <f t="shared" si="43"/>
        <v>0</v>
      </c>
    </row>
    <row r="30" spans="1:124">
      <c r="A30" s="27" t="s">
        <v>204</v>
      </c>
      <c r="B30" s="26" t="str">
        <f t="shared" si="2"/>
        <v>7G-3</v>
      </c>
      <c r="C30" s="26" t="s">
        <v>201</v>
      </c>
      <c r="D30" s="25" t="str">
        <f t="shared" si="3"/>
        <v>-3</v>
      </c>
      <c r="E30" s="24" t="s">
        <v>199</v>
      </c>
      <c r="F30" s="24" t="s">
        <v>195</v>
      </c>
      <c r="G30" s="24" t="s">
        <v>191</v>
      </c>
      <c r="H30" s="24" t="s">
        <v>180</v>
      </c>
      <c r="I30" s="24" t="s">
        <v>188</v>
      </c>
      <c r="J30" s="13" t="s">
        <v>1</v>
      </c>
      <c r="K30" s="33" t="s">
        <v>186</v>
      </c>
      <c r="L30" s="31">
        <v>2</v>
      </c>
      <c r="M30" s="18"/>
      <c r="N30" s="22">
        <v>0.01</v>
      </c>
      <c r="O30" s="22">
        <v>0.01</v>
      </c>
      <c r="P30" s="21">
        <v>1</v>
      </c>
      <c r="Q30" s="20">
        <v>1</v>
      </c>
      <c r="R30" s="21">
        <v>1</v>
      </c>
      <c r="S30" s="10">
        <f t="shared" ca="1" si="4"/>
        <v>0</v>
      </c>
      <c r="T30" s="19">
        <f t="shared" ca="1" si="5"/>
        <v>0</v>
      </c>
      <c r="U30" s="18">
        <f t="shared" ca="1" si="6"/>
        <v>0</v>
      </c>
      <c r="V30" s="19">
        <f t="shared" ca="1" si="7"/>
        <v>0</v>
      </c>
      <c r="W30" s="18">
        <f t="shared" ca="1" si="8"/>
        <v>0</v>
      </c>
      <c r="X30" s="19">
        <f t="shared" si="9"/>
        <v>0</v>
      </c>
      <c r="Y30" s="18">
        <f t="shared" si="10"/>
        <v>0</v>
      </c>
      <c r="Z30" s="12">
        <v>45463</v>
      </c>
      <c r="AA30" s="12">
        <v>45463</v>
      </c>
      <c r="AB30" s="12">
        <f t="shared" si="11"/>
        <v>45463</v>
      </c>
      <c r="AC30" s="11">
        <f t="shared" si="28"/>
        <v>45463</v>
      </c>
      <c r="AD30" s="12">
        <v>45470</v>
      </c>
      <c r="AE30" s="12">
        <v>45468</v>
      </c>
      <c r="AF30" s="12">
        <f t="shared" si="12"/>
        <v>45468</v>
      </c>
      <c r="AG30" s="11">
        <f t="shared" si="29"/>
        <v>45468</v>
      </c>
      <c r="AH30" s="12">
        <v>45505</v>
      </c>
      <c r="AI30" s="12">
        <v>45516</v>
      </c>
      <c r="AJ30" s="12">
        <f t="shared" si="13"/>
        <v>45516</v>
      </c>
      <c r="AK30" s="11">
        <v>45516</v>
      </c>
      <c r="AL30" s="12">
        <v>45540</v>
      </c>
      <c r="AM30" s="12">
        <v>45519</v>
      </c>
      <c r="AN30" s="12">
        <f t="shared" si="14"/>
        <v>45519</v>
      </c>
      <c r="AO30" s="11">
        <v>45519</v>
      </c>
      <c r="AP30" s="12">
        <v>45543</v>
      </c>
      <c r="AQ30" s="12">
        <v>45521</v>
      </c>
      <c r="AR30" s="12">
        <f t="shared" si="15"/>
        <v>45521</v>
      </c>
      <c r="AS30" s="11">
        <v>45521</v>
      </c>
      <c r="AT30" s="12">
        <v>45554</v>
      </c>
      <c r="AU30" s="12">
        <v>45528</v>
      </c>
      <c r="AV30" s="12">
        <f t="shared" si="16"/>
        <v>45528</v>
      </c>
      <c r="AW30" s="11">
        <v>45528</v>
      </c>
      <c r="AX30" s="12">
        <v>45574</v>
      </c>
      <c r="AY30" s="12">
        <v>45737</v>
      </c>
      <c r="AZ30" s="12">
        <f t="shared" si="30"/>
        <v>45737</v>
      </c>
      <c r="BA30" s="11">
        <v>45737</v>
      </c>
      <c r="BB30" s="12">
        <f t="shared" si="17"/>
        <v>45577</v>
      </c>
      <c r="BC30" s="12">
        <v>45740</v>
      </c>
      <c r="BD30" s="12">
        <f t="shared" si="31"/>
        <v>45740</v>
      </c>
      <c r="BE30" s="11">
        <f t="shared" si="32"/>
        <v>45740</v>
      </c>
      <c r="BF30" s="12">
        <f t="shared" si="18"/>
        <v>45589</v>
      </c>
      <c r="BG30" s="12">
        <v>45575</v>
      </c>
      <c r="BH30" s="12">
        <f t="shared" si="33"/>
        <v>45575</v>
      </c>
      <c r="BI30" s="11">
        <v>45575</v>
      </c>
      <c r="BJ30" s="12">
        <f t="shared" si="19"/>
        <v>45595</v>
      </c>
      <c r="BK30" s="12">
        <v>45595</v>
      </c>
      <c r="BL30" s="12">
        <f t="shared" si="34"/>
        <v>45595</v>
      </c>
      <c r="BM30" s="16">
        <v>45595</v>
      </c>
      <c r="BN30" s="12">
        <v>45634</v>
      </c>
      <c r="BO30" s="12">
        <v>45597</v>
      </c>
      <c r="BP30" s="12">
        <f t="shared" si="35"/>
        <v>45597</v>
      </c>
      <c r="BQ30" s="11">
        <v>45597</v>
      </c>
      <c r="BR30" s="12">
        <f t="shared" si="20"/>
        <v>45774</v>
      </c>
      <c r="BS30" s="12">
        <v>46013</v>
      </c>
      <c r="BT30" s="12">
        <v>46015</v>
      </c>
      <c r="BU30" s="11">
        <v>46015</v>
      </c>
      <c r="BV30" s="15">
        <f t="shared" si="21"/>
        <v>210</v>
      </c>
      <c r="BW30" s="12">
        <v>45784</v>
      </c>
      <c r="BX30" s="12">
        <v>46018</v>
      </c>
      <c r="BY30" s="12">
        <v>46037</v>
      </c>
      <c r="BZ30" s="11">
        <v>46037</v>
      </c>
      <c r="CA30" s="12">
        <f t="shared" si="22"/>
        <v>45799</v>
      </c>
      <c r="CB30" s="12">
        <v>46028</v>
      </c>
      <c r="CC30" s="12">
        <f t="shared" si="44"/>
        <v>46047</v>
      </c>
      <c r="CD30" s="11">
        <v>46047</v>
      </c>
      <c r="CE30" s="12">
        <f t="shared" si="23"/>
        <v>45826</v>
      </c>
      <c r="CF30" s="12">
        <v>46043</v>
      </c>
      <c r="CG30" s="12">
        <v>46063</v>
      </c>
      <c r="CH30" s="14">
        <f t="shared" si="24"/>
        <v>326</v>
      </c>
      <c r="CI30" s="11">
        <v>46063</v>
      </c>
      <c r="CJ30" s="12">
        <v>45829</v>
      </c>
      <c r="CK30" s="12">
        <v>46113</v>
      </c>
      <c r="CL30" s="12">
        <f>CG30+70</f>
        <v>46133</v>
      </c>
      <c r="CM30" s="11">
        <v>46133</v>
      </c>
      <c r="CN30" s="12">
        <v>46009</v>
      </c>
      <c r="CO30" s="12">
        <v>46173</v>
      </c>
      <c r="CP30" s="12">
        <v>45975</v>
      </c>
      <c r="CQ30" s="11">
        <v>45975</v>
      </c>
      <c r="CR30" s="28"/>
      <c r="CS30" s="28"/>
      <c r="CT30" s="1">
        <f t="shared" si="41"/>
        <v>0</v>
      </c>
      <c r="CU30" s="1">
        <f t="shared" si="41"/>
        <v>0</v>
      </c>
      <c r="CV30" s="1">
        <f t="shared" si="41"/>
        <v>0</v>
      </c>
      <c r="CW30" s="1">
        <f t="shared" si="41"/>
        <v>0</v>
      </c>
      <c r="CX30" s="1">
        <f t="shared" si="41"/>
        <v>0</v>
      </c>
      <c r="CY30" s="1">
        <f t="shared" si="41"/>
        <v>0</v>
      </c>
      <c r="CZ30" s="1">
        <f t="shared" si="41"/>
        <v>0</v>
      </c>
      <c r="DA30" s="1">
        <f t="shared" si="41"/>
        <v>0</v>
      </c>
      <c r="DB30" s="1">
        <f t="shared" si="41"/>
        <v>0</v>
      </c>
      <c r="DC30" s="1">
        <f t="shared" si="41"/>
        <v>0</v>
      </c>
      <c r="DD30" s="1">
        <f t="shared" si="42"/>
        <v>0</v>
      </c>
      <c r="DE30" s="1">
        <f t="shared" si="42"/>
        <v>0</v>
      </c>
      <c r="DF30" s="1">
        <f t="shared" si="42"/>
        <v>0</v>
      </c>
      <c r="DG30" s="1">
        <f t="shared" si="42"/>
        <v>0</v>
      </c>
      <c r="DH30" s="1">
        <f t="shared" si="42"/>
        <v>0</v>
      </c>
      <c r="DI30" s="1">
        <f t="shared" si="42"/>
        <v>0</v>
      </c>
      <c r="DJ30" s="1">
        <f t="shared" si="42"/>
        <v>0</v>
      </c>
      <c r="DK30" s="1">
        <f t="shared" si="42"/>
        <v>0</v>
      </c>
      <c r="DL30" s="1">
        <f t="shared" si="42"/>
        <v>0</v>
      </c>
      <c r="DM30" s="1">
        <f t="shared" si="42"/>
        <v>0</v>
      </c>
      <c r="DN30" s="1">
        <f t="shared" si="43"/>
        <v>0</v>
      </c>
      <c r="DO30" s="1">
        <f t="shared" si="43"/>
        <v>0</v>
      </c>
      <c r="DP30" s="1">
        <f t="shared" si="43"/>
        <v>0</v>
      </c>
      <c r="DQ30" s="1">
        <f t="shared" si="43"/>
        <v>0</v>
      </c>
      <c r="DR30" s="1">
        <f t="shared" si="43"/>
        <v>0</v>
      </c>
      <c r="DS30" s="1">
        <f t="shared" si="43"/>
        <v>0</v>
      </c>
      <c r="DT30" s="1">
        <f t="shared" si="43"/>
        <v>0</v>
      </c>
    </row>
    <row r="31" spans="1:124">
      <c r="S31" s="10">
        <f t="shared" ref="S31:S34" ca="1" si="45">IF(Z31&lt;$Y$1,1,0)*$AC$1+IF(AD31&lt;$Y$1,1,0)*$AG$1+IF(AH31&lt;$Y$1,1,0)*$AK$1+IF(AL31&lt;$Y$1,1,0)*$AO$1+IF(AP31&lt;$Y$1,1,0)*$AS$1+IF(AT31&lt;$Y$1,1,0)*$AW$1+IF(AX31&lt;$Y$1,1,0)*$BA$1+IF(BB31&lt;$Y$1,1,0)*$BE$1+IF(BF31&lt;$Y$1,1,0)*$BI$1+IF(BJ31&lt;$Y$1,1,0)*$BM$1+IF(BN31&lt;$Y$1,1,0)*$BQ$1+IF(BR31&lt;$Y$1,1,0)*$BU$1+IF(BW31&lt;$Y$1,1,0)*$BZ$1+IF(CA31&lt;$Y$1,1,0)*$CD$1+IF(CE31&lt;$Y$1,1,0)*$CI$1+IF(CJ31&lt;$Y$1,1,0)*$CM$1+IF(CN31&lt;$Y$1,1,0)*$CQ$1</f>
        <v>0</v>
      </c>
    </row>
    <row r="32" spans="1:124">
      <c r="S32" s="10">
        <f t="shared" ca="1" si="45"/>
        <v>0</v>
      </c>
    </row>
    <row r="33" spans="19:83">
      <c r="S33" s="10">
        <f t="shared" ca="1" si="45"/>
        <v>0</v>
      </c>
    </row>
    <row r="34" spans="19:83">
      <c r="S34" s="10">
        <f t="shared" ca="1" si="45"/>
        <v>0</v>
      </c>
      <c r="CE34" s="9"/>
    </row>
  </sheetData>
  <sheetProtection formatCells="0" formatColumns="0" formatRows="0" insertColumns="0" insertRows="0" insertHyperlinks="0" deleteColumns="0" deleteRows="0" sort="0" autoFilter="0" pivotTables="0"/>
  <protectedRanges>
    <protectedRange sqref="E1:K1048576" name="Range1"/>
    <protectedRange sqref="E1:K1048576" name="Range2"/>
  </protectedRanges>
  <autoFilter ref="A5:DU34" xr:uid="{00000000-0009-0000-0000-000000000000}"/>
  <mergeCells count="22">
    <mergeCell ref="Z2:AG2"/>
    <mergeCell ref="AH2:BE2"/>
    <mergeCell ref="BF2:BQ2"/>
    <mergeCell ref="CJ4:CM4"/>
    <mergeCell ref="BF4:BI4"/>
    <mergeCell ref="BJ4:BM4"/>
    <mergeCell ref="Z4:AC4"/>
    <mergeCell ref="AD4:AG4"/>
    <mergeCell ref="AH4:AK4"/>
    <mergeCell ref="BR2:CI2"/>
    <mergeCell ref="CN2:CQ4"/>
    <mergeCell ref="BN4:BQ4"/>
    <mergeCell ref="BR4:BU4"/>
    <mergeCell ref="BW4:BZ4"/>
    <mergeCell ref="CA4:CD4"/>
    <mergeCell ref="CE4:CI4"/>
    <mergeCell ref="AT4:AW4"/>
    <mergeCell ref="AX4:BA4"/>
    <mergeCell ref="BB4:BE4"/>
    <mergeCell ref="CJ2:CM2"/>
    <mergeCell ref="AL4:AO4"/>
    <mergeCell ref="AP4:AS4"/>
  </mergeCells>
  <pageMargins left="0.75" right="0.75" top="1" bottom="1" header="0.51180555555555596" footer="0.511805555555555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ECBD-2CEC-194B-A922-586B70F5CB98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2026-09-23T08:27:01Z</dcterms:created>
  <dcterms:modified xsi:type="dcterms:W3CDTF">2026-09-23T08:51:27Z</dcterms:modified>
  <cp:category/>
</cp:coreProperties>
</file>